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dustry_Master" sheetId="2" state="visible" r:id="rId2"/>
    <sheet xmlns:r="http://schemas.openxmlformats.org/officeDocument/2006/relationships" name="Frequency_IRIS" sheetId="3" state="visible" r:id="rId3"/>
    <sheet xmlns:r="http://schemas.openxmlformats.org/officeDocument/2006/relationships" name="Frequency_DBIR" sheetId="4" state="visible" r:id="rId4"/>
    <sheet xmlns:r="http://schemas.openxmlformats.org/officeDocument/2006/relationships" name="Frequency_SSC" sheetId="5" state="visible" r:id="rId5"/>
    <sheet xmlns:r="http://schemas.openxmlformats.org/officeDocument/2006/relationships" name="Severity_IRIS" sheetId="6" state="visible" r:id="rId6"/>
    <sheet xmlns:r="http://schemas.openxmlformats.org/officeDocument/2006/relationships" name="Severity_NetDiligence" sheetId="7" state="visible" r:id="rId7"/>
    <sheet xmlns:r="http://schemas.openxmlformats.org/officeDocument/2006/relationships" name="Severity_IBM" sheetId="8" state="visible" r:id="rId8"/>
    <sheet xmlns:r="http://schemas.openxmlformats.org/officeDocument/2006/relationships" name="Severity_Regulatory" sheetId="9" state="visible" r:id="rId9"/>
    <sheet xmlns:r="http://schemas.openxmlformats.org/officeDocument/2006/relationships" name="Policy_Coverage" sheetId="10" state="visible" r:id="rId10"/>
    <sheet xmlns:r="http://schemas.openxmlformats.org/officeDocument/2006/relationships" name="Assumptions" sheetId="11" state="visible" r:id="rId11"/>
    <sheet xmlns:r="http://schemas.openxmlformats.org/officeDocument/2006/relationships" name="Evidence_Register" sheetId="12" state="visible" r:id="rId12"/>
    <sheet xmlns:r="http://schemas.openxmlformats.org/officeDocument/2006/relationships" name="Severity_Revenue_T1" sheetId="13" state="visible" r:id="rId13"/>
  </sheets>
  <definedNames/>
  <calcPr calcId="124519" fullCalcOnLoad="1"/>
</workbook>
</file>

<file path=xl/styles.xml><?xml version="1.0" encoding="utf-8"?>
<styleSheet xmlns="http://schemas.openxmlformats.org/spreadsheetml/2006/main">
  <numFmts count="3">
    <numFmt numFmtId="164" formatCode="0.0%"/>
    <numFmt numFmtId="165" formatCode="0.00&quot;x&quot;"/>
    <numFmt numFmtId="166" formatCode="$#,##0"/>
  </numFmts>
  <fonts count="4">
    <font>
      <name val="Calibri"/>
      <family val="2"/>
      <color theme="1"/>
      <sz val="11"/>
      <scheme val="minor"/>
    </font>
    <font>
      <b val="1"/>
    </font>
    <font>
      <b val="1"/>
      <sz val="12"/>
    </font>
    <font>
      <i val="1"/>
      <color rgb="00C0000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6" fontId="1" fillId="0" borderId="0" applyAlignment="1" pivotButton="0" quotePrefix="0" xfId="0">
      <alignment vertical="top" wrapText="1"/>
    </xf>
    <xf numFmtId="0" fontId="2" fillId="0"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RiskSync CRQ Data Warehouse Template (Korea MVP)</t>
        </is>
      </c>
    </row>
    <row r="3">
      <c r="A3" t="inlineStr">
        <is>
          <t>Workflow</t>
        </is>
      </c>
      <c r="B3" t="inlineStr">
        <is>
          <t>IRIS/DBIR/SSC -&gt; IBM/NetDiligence/KISA -&gt; Monte Carlo -&gt; Policy Mapping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Industry_ID</t>
        </is>
      </c>
      <c r="B1" t="inlineStr">
        <is>
          <t>RiskSync_Industry</t>
        </is>
      </c>
      <c r="C1" t="inlineStr">
        <is>
          <t>NAICS</t>
        </is>
      </c>
      <c r="D1" t="inlineStr">
        <is>
          <t>IRIS_Frequency_Industry</t>
        </is>
      </c>
      <c r="E1" t="inlineStr">
        <is>
          <t>IRIS_Severity_Industry</t>
        </is>
      </c>
      <c r="F1" t="inlineStr">
        <is>
          <t>DBIR_Industry</t>
        </is>
      </c>
      <c r="G1" t="inlineStr">
        <is>
          <t>IBM_Industry</t>
        </is>
      </c>
      <c r="H1" t="inlineStr">
        <is>
          <t>NetDiligence_Industry</t>
        </is>
      </c>
      <c r="I1" t="inlineStr">
        <is>
          <t>KISA_Industry</t>
        </is>
      </c>
      <c r="J1" t="inlineStr">
        <is>
          <t>PIPC_Industry</t>
        </is>
      </c>
      <c r="K1" t="inlineStr">
        <is>
          <t>Notes</t>
        </is>
      </c>
      <c r="L1" t="inlineStr">
        <is>
          <t>Mapping_Confidence</t>
        </is>
      </c>
    </row>
    <row r="2">
      <c r="A2" t="inlineStr">
        <is>
          <t>IND_01</t>
        </is>
      </c>
      <c r="B2" t="inlineStr">
        <is>
          <t>Administrative</t>
        </is>
      </c>
      <c r="C2" t="inlineStr">
        <is>
          <t>56</t>
        </is>
      </c>
      <c r="D2" t="inlineStr">
        <is>
          <t>Administrative</t>
        </is>
      </c>
      <c r="E2" t="inlineStr">
        <is>
          <t>Administrative</t>
        </is>
      </c>
      <c r="F2" t="inlineStr">
        <is>
          <t>Administrative</t>
        </is>
      </c>
      <c r="G2" t="inlineStr">
        <is>
          <t>N/A</t>
        </is>
      </c>
      <c r="H2" t="inlineStr">
        <is>
          <t>N/A</t>
        </is>
      </c>
      <c r="I2" t="inlineStr">
        <is>
          <t>N/A</t>
        </is>
      </c>
      <c r="J2" t="inlineStr">
        <is>
          <t>N/A</t>
        </is>
      </c>
      <c r="K2" t="inlineStr">
        <is>
          <t>Only 2 of 4 sources have a direct label match (IRIS, DBIR). No IBM/NetDiligence severity data available for this industry.</t>
        </is>
      </c>
      <c r="L2" t="inlineStr">
        <is>
          <t>Low</t>
        </is>
      </c>
    </row>
    <row r="3">
      <c r="A3" t="inlineStr">
        <is>
          <t>IND_02</t>
        </is>
      </c>
      <c r="B3" t="inlineStr">
        <is>
          <t>Agriculture</t>
        </is>
      </c>
      <c r="C3" t="inlineStr">
        <is>
          <t>11</t>
        </is>
      </c>
      <c r="D3" t="inlineStr">
        <is>
          <t>Agriculture</t>
        </is>
      </c>
      <c r="E3" t="inlineStr">
        <is>
          <t>Agriculture</t>
        </is>
      </c>
      <c r="F3" t="inlineStr">
        <is>
          <t>N/A</t>
        </is>
      </c>
      <c r="G3" t="inlineStr">
        <is>
          <t>N/A</t>
        </is>
      </c>
      <c r="H3" t="inlineStr">
        <is>
          <t>Agriculture</t>
        </is>
      </c>
      <c r="I3" t="inlineStr">
        <is>
          <t>N/A</t>
        </is>
      </c>
      <c r="J3" t="inlineStr">
        <is>
          <t>N/A</t>
        </is>
      </c>
      <c r="K3" t="inlineStr">
        <is>
          <t>Only 2 of 4 sources match (IRIS, NetDiligence). DBIR/IBM do not report this industry separately.</t>
        </is>
      </c>
      <c r="L3" t="inlineStr">
        <is>
          <t>Low</t>
        </is>
      </c>
    </row>
    <row r="4">
      <c r="A4" t="inlineStr">
        <is>
          <t>IND_03</t>
        </is>
      </c>
      <c r="B4" t="inlineStr">
        <is>
          <t>Construction</t>
        </is>
      </c>
      <c r="C4" t="inlineStr">
        <is>
          <t>23</t>
        </is>
      </c>
      <c r="D4" t="inlineStr">
        <is>
          <t>Construction</t>
        </is>
      </c>
      <c r="E4" t="inlineStr">
        <is>
          <t>Construction</t>
        </is>
      </c>
      <c r="F4" t="inlineStr">
        <is>
          <t>Construction</t>
        </is>
      </c>
      <c r="G4" t="inlineStr">
        <is>
          <t>N/A</t>
        </is>
      </c>
      <c r="H4" t="inlineStr">
        <is>
          <t>Construction</t>
        </is>
      </c>
      <c r="I4" t="inlineStr">
        <is>
          <t>N/A</t>
        </is>
      </c>
      <c r="J4" t="inlineStr">
        <is>
          <t>N/A</t>
        </is>
      </c>
      <c r="K4" t="inlineStr">
        <is>
          <t>3 of 4 sources match directly. IBM does not report Construction as a separate industry.</t>
        </is>
      </c>
      <c r="L4" t="inlineStr">
        <is>
          <t>Medium</t>
        </is>
      </c>
    </row>
    <row r="5">
      <c r="A5" t="inlineStr">
        <is>
          <t>IND_04</t>
        </is>
      </c>
      <c r="B5" t="inlineStr">
        <is>
          <t>Education</t>
        </is>
      </c>
      <c r="C5" t="inlineStr">
        <is>
          <t>61</t>
        </is>
      </c>
      <c r="D5" t="inlineStr">
        <is>
          <t>Education</t>
        </is>
      </c>
      <c r="E5" t="inlineStr">
        <is>
          <t>Education</t>
        </is>
      </c>
      <c r="F5" t="inlineStr">
        <is>
          <t>Education</t>
        </is>
      </c>
      <c r="G5" t="inlineStr">
        <is>
          <t>Education</t>
        </is>
      </c>
      <c r="H5" t="inlineStr">
        <is>
          <t>Education</t>
        </is>
      </c>
      <c r="I5" t="inlineStr">
        <is>
          <t>N/A</t>
        </is>
      </c>
      <c r="J5" t="inlineStr">
        <is>
          <t>N/A</t>
        </is>
      </c>
      <c r="K5" t="inlineStr">
        <is>
          <t>All 4 sources report this industry under the same or equivalent label.</t>
        </is>
      </c>
      <c r="L5" t="inlineStr">
        <is>
          <t>High</t>
        </is>
      </c>
    </row>
    <row r="6">
      <c r="A6" t="inlineStr">
        <is>
          <t>IND_05</t>
        </is>
      </c>
      <c r="B6" t="inlineStr">
        <is>
          <t>Entertainment</t>
        </is>
      </c>
      <c r="C6" t="inlineStr">
        <is>
          <t>71</t>
        </is>
      </c>
      <c r="D6" t="inlineStr">
        <is>
          <t>Entertainment</t>
        </is>
      </c>
      <c r="E6" t="inlineStr">
        <is>
          <t>Entertainment</t>
        </is>
      </c>
      <c r="F6" t="inlineStr">
        <is>
          <t>Entertainment</t>
        </is>
      </c>
      <c r="G6" t="inlineStr">
        <is>
          <t>Entertainment</t>
        </is>
      </c>
      <c r="H6" t="inlineStr">
        <is>
          <t>Entertainment</t>
        </is>
      </c>
      <c r="I6" t="inlineStr">
        <is>
          <t>N/A</t>
        </is>
      </c>
      <c r="J6" t="inlineStr">
        <is>
          <t>N/A</t>
        </is>
      </c>
      <c r="K6" t="inlineStr">
        <is>
          <t>All 4 sources report this industry under the same or equivalent label.</t>
        </is>
      </c>
      <c r="L6" t="inlineStr">
        <is>
          <t>High</t>
        </is>
      </c>
    </row>
    <row r="7">
      <c r="A7" t="inlineStr">
        <is>
          <t>IND_06</t>
        </is>
      </c>
      <c r="B7" t="inlineStr">
        <is>
          <t>Financial Services</t>
        </is>
      </c>
      <c r="C7" t="inlineStr">
        <is>
          <t>52</t>
        </is>
      </c>
      <c r="D7" t="inlineStr">
        <is>
          <t>Financial</t>
        </is>
      </c>
      <c r="E7" t="inlineStr">
        <is>
          <t>Financial</t>
        </is>
      </c>
      <c r="F7" t="inlineStr">
        <is>
          <t>Finance</t>
        </is>
      </c>
      <c r="G7" t="inlineStr">
        <is>
          <t>Financial</t>
        </is>
      </c>
      <c r="H7" t="inlineStr">
        <is>
          <t>Financial Services</t>
        </is>
      </c>
      <c r="I7" t="inlineStr">
        <is>
          <t>N/A</t>
        </is>
      </c>
      <c r="J7" t="inlineStr">
        <is>
          <t>N/A</t>
        </is>
      </c>
      <c r="K7" t="inlineStr">
        <is>
          <t>All 4 sources match conceptually despite minor label differences (Financial/Finance/Financial Services).</t>
        </is>
      </c>
      <c r="L7" t="inlineStr">
        <is>
          <t>High</t>
        </is>
      </c>
    </row>
    <row r="8">
      <c r="A8" t="inlineStr">
        <is>
          <t>IND_07</t>
        </is>
      </c>
      <c r="B8" t="inlineStr">
        <is>
          <t>Healthcare</t>
        </is>
      </c>
      <c r="C8" t="inlineStr">
        <is>
          <t>62</t>
        </is>
      </c>
      <c r="D8" t="inlineStr">
        <is>
          <t>Healthcare</t>
        </is>
      </c>
      <c r="E8" t="inlineStr">
        <is>
          <t>Healthcare</t>
        </is>
      </c>
      <c r="F8" t="inlineStr">
        <is>
          <t>Healthcare</t>
        </is>
      </c>
      <c r="G8" t="inlineStr">
        <is>
          <t>Healthcare</t>
        </is>
      </c>
      <c r="H8" t="inlineStr">
        <is>
          <t>Healthcare</t>
        </is>
      </c>
      <c r="I8" t="inlineStr">
        <is>
          <t>N/A</t>
        </is>
      </c>
      <c r="J8" t="inlineStr">
        <is>
          <t>N/A</t>
        </is>
      </c>
      <c r="K8" t="inlineStr">
        <is>
          <t>All 4 sources report this industry under the same label.</t>
        </is>
      </c>
      <c r="L8" t="inlineStr">
        <is>
          <t>High</t>
        </is>
      </c>
    </row>
    <row r="9">
      <c r="A9" t="inlineStr">
        <is>
          <t>IND_08</t>
        </is>
      </c>
      <c r="B9" t="inlineStr">
        <is>
          <t>Hospitality</t>
        </is>
      </c>
      <c r="C9" t="inlineStr">
        <is>
          <t>72</t>
        </is>
      </c>
      <c r="D9" t="inlineStr">
        <is>
          <t>Hospitality</t>
        </is>
      </c>
      <c r="E9" t="inlineStr">
        <is>
          <t>Hospitality</t>
        </is>
      </c>
      <c r="F9" t="inlineStr">
        <is>
          <t>Accommodation</t>
        </is>
      </c>
      <c r="G9" t="inlineStr">
        <is>
          <t>Hospitality</t>
        </is>
      </c>
      <c r="H9" t="inlineStr">
        <is>
          <t>Hospitality</t>
        </is>
      </c>
      <c r="I9" t="inlineStr">
        <is>
          <t>N/A</t>
        </is>
      </c>
      <c r="J9" t="inlineStr">
        <is>
          <t>N/A</t>
        </is>
      </c>
      <c r="K9" t="inlineStr">
        <is>
          <t>All 4 sources match conceptually (DBIR uses 'Accommodation'). NOTE: NetDiligence separately tracks 'Restaurant' as its own category, not folded in here.</t>
        </is>
      </c>
      <c r="L9" t="inlineStr">
        <is>
          <t>High</t>
        </is>
      </c>
    </row>
    <row r="10">
      <c r="A10" t="inlineStr">
        <is>
          <t>IND_09</t>
        </is>
      </c>
      <c r="B10" t="inlineStr">
        <is>
          <t>Information / Technology</t>
        </is>
      </c>
      <c r="C10" t="inlineStr">
        <is>
          <t>51</t>
        </is>
      </c>
      <c r="D10" t="inlineStr">
        <is>
          <t>Information</t>
        </is>
      </c>
      <c r="E10" t="inlineStr">
        <is>
          <t>Information</t>
        </is>
      </c>
      <c r="F10" t="inlineStr">
        <is>
          <t>Information</t>
        </is>
      </c>
      <c r="G10" t="inlineStr">
        <is>
          <t>Technology</t>
        </is>
      </c>
      <c r="H10" t="inlineStr">
        <is>
          <t>Technology</t>
        </is>
      </c>
      <c r="I10" t="inlineStr">
        <is>
          <t>N/A</t>
        </is>
      </c>
      <c r="J10" t="inlineStr">
        <is>
          <t>N/A</t>
        </is>
      </c>
      <c r="K10" t="inlineStr">
        <is>
          <t>APPROXIMATION: IBM/NetDiligence 'Technology' treated as equivalent to IRIS/DBIR 'Information' but not verified identical scope. Telecom/Communications tracked separately, not folded in. Use with caution.</t>
        </is>
      </c>
      <c r="L10" t="inlineStr">
        <is>
          <t>Medium</t>
        </is>
      </c>
    </row>
    <row r="11">
      <c r="A11" t="inlineStr">
        <is>
          <t>IND_10</t>
        </is>
      </c>
      <c r="B11" t="inlineStr">
        <is>
          <t>Management</t>
        </is>
      </c>
      <c r="C11" t="inlineStr">
        <is>
          <t>55</t>
        </is>
      </c>
      <c r="D11" t="inlineStr">
        <is>
          <t>Management</t>
        </is>
      </c>
      <c r="E11" t="inlineStr">
        <is>
          <t>Management</t>
        </is>
      </c>
      <c r="F11" t="inlineStr">
        <is>
          <t>N/A</t>
        </is>
      </c>
      <c r="G11" t="inlineStr">
        <is>
          <t>N/A</t>
        </is>
      </c>
      <c r="H11" t="inlineStr">
        <is>
          <t>N/A</t>
        </is>
      </c>
      <c r="I11" t="inlineStr">
        <is>
          <t>N/A</t>
        </is>
      </c>
      <c r="J11" t="inlineStr">
        <is>
          <t>N/A</t>
        </is>
      </c>
      <c r="K11" t="inlineStr">
        <is>
          <t>No matching category in DBIR, IBM, or NetDiligence. IRIS-only industry - no independent severity cross-check possible.</t>
        </is>
      </c>
      <c r="L11" t="inlineStr">
        <is>
          <t>None</t>
        </is>
      </c>
    </row>
    <row r="12">
      <c r="A12" t="inlineStr">
        <is>
          <t>IND_11</t>
        </is>
      </c>
      <c r="B12" t="inlineStr">
        <is>
          <t>Manufacturing</t>
        </is>
      </c>
      <c r="C12" t="inlineStr">
        <is>
          <t>31-33</t>
        </is>
      </c>
      <c r="D12" t="inlineStr">
        <is>
          <t>Manufacturing</t>
        </is>
      </c>
      <c r="E12" t="inlineStr">
        <is>
          <t>Manufacturing</t>
        </is>
      </c>
      <c r="F12" t="inlineStr">
        <is>
          <t>Manufacturing</t>
        </is>
      </c>
      <c r="G12" t="inlineStr">
        <is>
          <t>Industrial</t>
        </is>
      </c>
      <c r="H12" t="inlineStr">
        <is>
          <t>Manufacturing</t>
        </is>
      </c>
      <c r="I12" t="inlineStr">
        <is>
          <t>N/A</t>
        </is>
      </c>
      <c r="J12" t="inlineStr">
        <is>
          <t>N/A</t>
        </is>
      </c>
      <c r="K12" t="inlineStr">
        <is>
          <t>APPROXIMATION: IBM label is 'Industrial', not 'Manufacturing' - treated as equivalent but not confirmed identical scope.</t>
        </is>
      </c>
      <c r="L12" t="inlineStr">
        <is>
          <t>Medium</t>
        </is>
      </c>
    </row>
    <row r="13">
      <c r="A13" t="inlineStr">
        <is>
          <t>IND_12</t>
        </is>
      </c>
      <c r="B13" t="inlineStr">
        <is>
          <t>Mining</t>
        </is>
      </c>
      <c r="C13" t="inlineStr">
        <is>
          <t>21</t>
        </is>
      </c>
      <c r="D13" t="inlineStr">
        <is>
          <t>Mining</t>
        </is>
      </c>
      <c r="E13" t="inlineStr">
        <is>
          <t>Mining</t>
        </is>
      </c>
      <c r="F13" t="inlineStr">
        <is>
          <t>Mining &amp; Utilities (combined)</t>
        </is>
      </c>
      <c r="G13" t="inlineStr">
        <is>
          <t>N/A</t>
        </is>
      </c>
      <c r="H13" t="inlineStr">
        <is>
          <t>N/A</t>
        </is>
      </c>
      <c r="I13" t="inlineStr">
        <is>
          <t>N/A</t>
        </is>
      </c>
      <c r="J13" t="inlineStr">
        <is>
          <t>N/A</t>
        </is>
      </c>
      <c r="K13" t="inlineStr">
        <is>
          <t>DBIR merges Mining with Utilities and cannot be disaggregated. No IBM/NetDiligence data available. Do not use DBIR figure as Mining-specific.</t>
        </is>
      </c>
      <c r="L13" t="inlineStr">
        <is>
          <t>Low</t>
        </is>
      </c>
    </row>
    <row r="14">
      <c r="A14" t="inlineStr">
        <is>
          <t>IND_13</t>
        </is>
      </c>
      <c r="B14" t="inlineStr">
        <is>
          <t>Other Services</t>
        </is>
      </c>
      <c r="C14" t="inlineStr">
        <is>
          <t>81</t>
        </is>
      </c>
      <c r="D14" t="inlineStr">
        <is>
          <t>Other</t>
        </is>
      </c>
      <c r="E14" t="inlineStr">
        <is>
          <t>Other services</t>
        </is>
      </c>
      <c r="F14" t="inlineStr">
        <is>
          <t>Other Services</t>
        </is>
      </c>
      <c r="G14" t="inlineStr">
        <is>
          <t>N/A</t>
        </is>
      </c>
      <c r="H14" t="inlineStr">
        <is>
          <t>Other</t>
        </is>
      </c>
      <c r="I14" t="inlineStr">
        <is>
          <t>N/A</t>
        </is>
      </c>
      <c r="J14" t="inlineStr">
        <is>
          <t>N/A</t>
        </is>
      </c>
      <c r="K14" t="inlineStr">
        <is>
          <t>3 of 4 sources have an 'Other/catch-all' category, but scope varies by source and is not independently verifiable.</t>
        </is>
      </c>
      <c r="L14" t="inlineStr">
        <is>
          <t>Medium</t>
        </is>
      </c>
    </row>
    <row r="15">
      <c r="A15" t="inlineStr">
        <is>
          <t>IND_14</t>
        </is>
      </c>
      <c r="B15" t="inlineStr">
        <is>
          <t>Professional Services</t>
        </is>
      </c>
      <c r="C15" t="inlineStr">
        <is>
          <t>54</t>
        </is>
      </c>
      <c r="D15" t="inlineStr">
        <is>
          <t>Professional</t>
        </is>
      </c>
      <c r="E15" t="inlineStr">
        <is>
          <t>Professional</t>
        </is>
      </c>
      <c r="F15" t="inlineStr">
        <is>
          <t>Professional</t>
        </is>
      </c>
      <c r="G15" t="inlineStr">
        <is>
          <t>Services</t>
        </is>
      </c>
      <c r="H15" t="inlineStr">
        <is>
          <t>Professional Services</t>
        </is>
      </c>
      <c r="I15" t="inlineStr">
        <is>
          <t>N/A</t>
        </is>
      </c>
      <c r="J15" t="inlineStr">
        <is>
          <t>N/A</t>
        </is>
      </c>
      <c r="K15" t="inlineStr">
        <is>
          <t>APPROXIMATION: IBM 'Services' chosen over alternative candidate 'Research' as closest match - unverified. Treat IBM figures for this row as low-precision.</t>
        </is>
      </c>
      <c r="L15" t="inlineStr">
        <is>
          <t>Medium</t>
        </is>
      </c>
    </row>
    <row r="16">
      <c r="A16" t="inlineStr">
        <is>
          <t>IND_15</t>
        </is>
      </c>
      <c r="B16" t="inlineStr">
        <is>
          <t>Public / Government</t>
        </is>
      </c>
      <c r="C16" t="inlineStr">
        <is>
          <t>92</t>
        </is>
      </c>
      <c r="D16" t="inlineStr">
        <is>
          <t>Public</t>
        </is>
      </c>
      <c r="E16" t="inlineStr">
        <is>
          <t>Public</t>
        </is>
      </c>
      <c r="F16" t="inlineStr">
        <is>
          <t>Public Administration</t>
        </is>
      </c>
      <c r="G16" t="inlineStr">
        <is>
          <t>Public</t>
        </is>
      </c>
      <c r="H16" t="inlineStr">
        <is>
          <t>Public Entity</t>
        </is>
      </c>
      <c r="I16" t="inlineStr">
        <is>
          <t>N/A</t>
        </is>
      </c>
      <c r="J16" t="inlineStr">
        <is>
          <t>N/A</t>
        </is>
      </c>
      <c r="K16" t="inlineStr">
        <is>
          <t>All 4 sources match conceptually despite label differences.</t>
        </is>
      </c>
      <c r="L16" t="inlineStr">
        <is>
          <t>High</t>
        </is>
      </c>
    </row>
    <row r="17">
      <c r="A17" t="inlineStr">
        <is>
          <t>IND_16</t>
        </is>
      </c>
      <c r="B17" t="inlineStr">
        <is>
          <t>Real Estate</t>
        </is>
      </c>
      <c r="C17" t="inlineStr">
        <is>
          <t>53</t>
        </is>
      </c>
      <c r="D17" t="inlineStr">
        <is>
          <t>Real Estate</t>
        </is>
      </c>
      <c r="E17" t="inlineStr">
        <is>
          <t>Real Estate</t>
        </is>
      </c>
      <c r="F17" t="inlineStr">
        <is>
          <t>Real Estate</t>
        </is>
      </c>
      <c r="G17" t="inlineStr">
        <is>
          <t>N/A</t>
        </is>
      </c>
      <c r="H17" t="inlineStr">
        <is>
          <t>N/A</t>
        </is>
      </c>
      <c r="I17" t="inlineStr">
        <is>
          <t>N/A</t>
        </is>
      </c>
      <c r="J17" t="inlineStr">
        <is>
          <t>N/A</t>
        </is>
      </c>
      <c r="K17" t="inlineStr">
        <is>
          <t>Only IRIS and DBIR report this industry. No IBM/NetDiligence severity data available.</t>
        </is>
      </c>
      <c r="L17" t="inlineStr">
        <is>
          <t>Low</t>
        </is>
      </c>
    </row>
    <row r="18">
      <c r="A18" t="inlineStr">
        <is>
          <t>IND_17</t>
        </is>
      </c>
      <c r="B18" t="inlineStr">
        <is>
          <t>Retail</t>
        </is>
      </c>
      <c r="C18" t="inlineStr">
        <is>
          <t>44-45</t>
        </is>
      </c>
      <c r="D18" t="inlineStr">
        <is>
          <t>Retail</t>
        </is>
      </c>
      <c r="E18" t="inlineStr">
        <is>
          <t>Retail</t>
        </is>
      </c>
      <c r="F18" t="inlineStr">
        <is>
          <t>Retail</t>
        </is>
      </c>
      <c r="G18" t="inlineStr">
        <is>
          <t>Retail</t>
        </is>
      </c>
      <c r="H18" t="inlineStr">
        <is>
          <t>Retail</t>
        </is>
      </c>
      <c r="I18" t="inlineStr">
        <is>
          <t>N/A</t>
        </is>
      </c>
      <c r="J18" t="inlineStr">
        <is>
          <t>N/A</t>
        </is>
      </c>
      <c r="K18" t="inlineStr">
        <is>
          <t>All 4 sources report this industry under the same label.</t>
        </is>
      </c>
      <c r="L18" t="inlineStr">
        <is>
          <t>High</t>
        </is>
      </c>
    </row>
    <row r="19">
      <c r="A19" t="inlineStr">
        <is>
          <t>IND_18</t>
        </is>
      </c>
      <c r="B19" t="inlineStr">
        <is>
          <t>Trade</t>
        </is>
      </c>
      <c r="C19" t="inlineStr">
        <is>
          <t>N/A</t>
        </is>
      </c>
      <c r="D19" t="inlineStr">
        <is>
          <t>Trade</t>
        </is>
      </c>
      <c r="E19" t="inlineStr">
        <is>
          <t>Trade</t>
        </is>
      </c>
      <c r="F19" t="inlineStr">
        <is>
          <t>N/A</t>
        </is>
      </c>
      <c r="G19" t="inlineStr">
        <is>
          <t>N/A</t>
        </is>
      </c>
      <c r="H19" t="inlineStr">
        <is>
          <t>N/A</t>
        </is>
      </c>
      <c r="I19" t="inlineStr">
        <is>
          <t>N/A</t>
        </is>
      </c>
      <c r="J19" t="inlineStr">
        <is>
          <t>N/A</t>
        </is>
      </c>
      <c r="K19" t="inlineStr">
        <is>
          <t>No matching category in any other source. IRIS-only industry with no independent severity cross-check possible.</t>
        </is>
      </c>
      <c r="L19" t="inlineStr">
        <is>
          <t>None</t>
        </is>
      </c>
    </row>
    <row r="20">
      <c r="A20" t="inlineStr">
        <is>
          <t>IND_19</t>
        </is>
      </c>
      <c r="B20" t="inlineStr">
        <is>
          <t>Transportation</t>
        </is>
      </c>
      <c r="C20" t="inlineStr">
        <is>
          <t>48-49</t>
        </is>
      </c>
      <c r="D20" t="inlineStr">
        <is>
          <t>Transportation</t>
        </is>
      </c>
      <c r="E20" t="inlineStr">
        <is>
          <t>Transportation</t>
        </is>
      </c>
      <c r="F20" t="inlineStr">
        <is>
          <t>Transportation</t>
        </is>
      </c>
      <c r="G20" t="inlineStr">
        <is>
          <t>Transportation</t>
        </is>
      </c>
      <c r="H20" t="inlineStr">
        <is>
          <t>Transportation</t>
        </is>
      </c>
      <c r="I20" t="inlineStr">
        <is>
          <t>N/A</t>
        </is>
      </c>
      <c r="J20" t="inlineStr">
        <is>
          <t>N/A</t>
        </is>
      </c>
      <c r="K20" t="inlineStr">
        <is>
          <t>All 4 sources report this industry under the same label.</t>
        </is>
      </c>
      <c r="L20" t="inlineStr">
        <is>
          <t>High</t>
        </is>
      </c>
    </row>
    <row r="21">
      <c r="A21" t="inlineStr">
        <is>
          <t>IND_20</t>
        </is>
      </c>
      <c r="B21" t="inlineStr">
        <is>
          <t>Utilities</t>
        </is>
      </c>
      <c r="C21" t="inlineStr">
        <is>
          <t>22</t>
        </is>
      </c>
      <c r="D21" t="inlineStr">
        <is>
          <t>Utilities</t>
        </is>
      </c>
      <c r="E21" t="inlineStr">
        <is>
          <t>Utilities</t>
        </is>
      </c>
      <c r="F21" t="inlineStr">
        <is>
          <t>Mining &amp; Utilities (combined)</t>
        </is>
      </c>
      <c r="G21" t="inlineStr">
        <is>
          <t>N/A</t>
        </is>
      </c>
      <c r="H21" t="inlineStr">
        <is>
          <t>N/A</t>
        </is>
      </c>
      <c r="I21" t="inlineStr">
        <is>
          <t>N/A</t>
        </is>
      </c>
      <c r="J21" t="inlineStr">
        <is>
          <t>N/A</t>
        </is>
      </c>
      <c r="K21" t="inlineStr">
        <is>
          <t>DBIR merges Utilities with Mining. IBM/NetDiligence use an unrelated 'Energy' category (see IND_21), NOT mapped here to avoid false equivalence.</t>
        </is>
      </c>
      <c r="L21" t="inlineStr">
        <is>
          <t>Low</t>
        </is>
      </c>
    </row>
    <row r="22">
      <c r="A22" t="inlineStr">
        <is>
          <t>IND_21</t>
        </is>
      </c>
      <c r="B22" t="inlineStr">
        <is>
          <t>Energy (orphan - no IRIS anchor)</t>
        </is>
      </c>
      <c r="C22" t="inlineStr">
        <is>
          <t>21-22 (approx)</t>
        </is>
      </c>
      <c r="D22" t="inlineStr">
        <is>
          <t>N/A</t>
        </is>
      </c>
      <c r="E22" t="inlineStr">
        <is>
          <t>N/A</t>
        </is>
      </c>
      <c r="F22" t="inlineStr">
        <is>
          <t>N/A</t>
        </is>
      </c>
      <c r="G22" t="inlineStr">
        <is>
          <t>Energy</t>
        </is>
      </c>
      <c r="H22" t="inlineStr">
        <is>
          <t>Energy</t>
        </is>
      </c>
      <c r="I22" t="inlineStr">
        <is>
          <t>N/A</t>
        </is>
      </c>
      <c r="J22" t="inlineStr">
        <is>
          <t>N/A</t>
        </is>
      </c>
      <c r="K22" t="inlineStr">
        <is>
          <t>IBM and NetDiligence match each other but have NO corresponding IRIS/DBIR frequency baseline. Do not auto-join for LEF lookup.</t>
        </is>
      </c>
      <c r="L22" t="inlineStr">
        <is>
          <t>None</t>
        </is>
      </c>
    </row>
    <row r="23">
      <c r="A23" t="inlineStr">
        <is>
          <t>IND_22</t>
        </is>
      </c>
      <c r="B23" t="inlineStr">
        <is>
          <t>Gaming &amp; Casino (orphan)</t>
        </is>
      </c>
      <c r="C23" t="inlineStr">
        <is>
          <t>713</t>
        </is>
      </c>
      <c r="D23" t="inlineStr">
        <is>
          <t>N/A</t>
        </is>
      </c>
      <c r="E23" t="inlineStr">
        <is>
          <t>N/A</t>
        </is>
      </c>
      <c r="F23" t="inlineStr">
        <is>
          <t>N/A</t>
        </is>
      </c>
      <c r="G23" t="inlineStr">
        <is>
          <t>N/A</t>
        </is>
      </c>
      <c r="H23" t="inlineStr">
        <is>
          <t>Gaming &amp; Casino</t>
        </is>
      </c>
      <c r="I23" t="inlineStr">
        <is>
          <t>N/A</t>
        </is>
      </c>
      <c r="J23" t="inlineStr">
        <is>
          <t>N/A</t>
        </is>
      </c>
      <c r="K23" t="inlineStr">
        <is>
          <t>NetDiligence-only category. No frequency data from any source.</t>
        </is>
      </c>
      <c r="L23" t="inlineStr">
        <is>
          <t>None</t>
        </is>
      </c>
    </row>
    <row r="24">
      <c r="A24" t="inlineStr">
        <is>
          <t>IND_23</t>
        </is>
      </c>
      <c r="B24" t="inlineStr">
        <is>
          <t>Media (orphan)</t>
        </is>
      </c>
      <c r="C24" t="inlineStr">
        <is>
          <t>51 (approx)</t>
        </is>
      </c>
      <c r="D24" t="inlineStr">
        <is>
          <t>N/A</t>
        </is>
      </c>
      <c r="E24" t="inlineStr">
        <is>
          <t>N/A</t>
        </is>
      </c>
      <c r="F24" t="inlineStr">
        <is>
          <t>N/A</t>
        </is>
      </c>
      <c r="G24" t="inlineStr">
        <is>
          <t>Media</t>
        </is>
      </c>
      <c r="H24" t="inlineStr">
        <is>
          <t>Media</t>
        </is>
      </c>
      <c r="I24" t="inlineStr">
        <is>
          <t>N/A</t>
        </is>
      </c>
      <c r="J24" t="inlineStr">
        <is>
          <t>N/A</t>
        </is>
      </c>
      <c r="K24" t="inlineStr">
        <is>
          <t>IBM/NetDiligence match each other but no IRIS/DBIR frequency anchor. May overlap IND_09, unconfirmed.</t>
        </is>
      </c>
      <c r="L24" t="inlineStr">
        <is>
          <t>None</t>
        </is>
      </c>
    </row>
    <row r="25">
      <c r="A25" t="inlineStr">
        <is>
          <t>IND_24</t>
        </is>
      </c>
      <c r="B25" t="inlineStr">
        <is>
          <t>Nonprofit (orphan)</t>
        </is>
      </c>
      <c r="C25" t="inlineStr">
        <is>
          <t>813</t>
        </is>
      </c>
      <c r="D25" t="inlineStr">
        <is>
          <t>N/A</t>
        </is>
      </c>
      <c r="E25" t="inlineStr">
        <is>
          <t>N/A</t>
        </is>
      </c>
      <c r="F25" t="inlineStr">
        <is>
          <t>N/A</t>
        </is>
      </c>
      <c r="G25" t="inlineStr">
        <is>
          <t>N/A</t>
        </is>
      </c>
      <c r="H25" t="inlineStr">
        <is>
          <t>Nonprofit</t>
        </is>
      </c>
      <c r="I25" t="inlineStr">
        <is>
          <t>N/A</t>
        </is>
      </c>
      <c r="J25" t="inlineStr">
        <is>
          <t>N/A</t>
        </is>
      </c>
      <c r="K25" t="inlineStr">
        <is>
          <t>NetDiligence-only category. No frequency data from any source.</t>
        </is>
      </c>
      <c r="L25" t="inlineStr">
        <is>
          <t>None</t>
        </is>
      </c>
    </row>
    <row r="26">
      <c r="A26" t="inlineStr">
        <is>
          <t>IND_25</t>
        </is>
      </c>
      <c r="B26" t="inlineStr">
        <is>
          <t>Restaurant (orphan)</t>
        </is>
      </c>
      <c r="C26" t="inlineStr">
        <is>
          <t>722</t>
        </is>
      </c>
      <c r="D26" t="inlineStr">
        <is>
          <t>N/A</t>
        </is>
      </c>
      <c r="E26" t="inlineStr">
        <is>
          <t>N/A</t>
        </is>
      </c>
      <c r="F26" t="inlineStr">
        <is>
          <t>N/A</t>
        </is>
      </c>
      <c r="G26" t="inlineStr">
        <is>
          <t>N/A</t>
        </is>
      </c>
      <c r="H26" t="inlineStr">
        <is>
          <t>Restaurant</t>
        </is>
      </c>
      <c r="I26" t="inlineStr">
        <is>
          <t>N/A</t>
        </is>
      </c>
      <c r="J26" t="inlineStr">
        <is>
          <t>N/A</t>
        </is>
      </c>
      <c r="K26" t="inlineStr">
        <is>
          <t>NetDiligence-only, likely sub-segment of Hospitality (IND_08) but tracked separately. No frequency data.</t>
        </is>
      </c>
      <c r="L26" t="inlineStr">
        <is>
          <t>None</t>
        </is>
      </c>
    </row>
    <row r="27">
      <c r="A27" t="inlineStr">
        <is>
          <t>IND_26</t>
        </is>
      </c>
      <c r="B27" t="inlineStr">
        <is>
          <t>Telecommunications (orphan)</t>
        </is>
      </c>
      <c r="C27" t="inlineStr">
        <is>
          <t>517</t>
        </is>
      </c>
      <c r="D27" t="inlineStr">
        <is>
          <t>N/A</t>
        </is>
      </c>
      <c r="E27" t="inlineStr">
        <is>
          <t>N/A</t>
        </is>
      </c>
      <c r="F27" t="inlineStr">
        <is>
          <t>N/A</t>
        </is>
      </c>
      <c r="G27" t="inlineStr">
        <is>
          <t>N/A</t>
        </is>
      </c>
      <c r="H27" t="inlineStr">
        <is>
          <t>Telecommunications</t>
        </is>
      </c>
      <c r="I27" t="inlineStr">
        <is>
          <t>N/A</t>
        </is>
      </c>
      <c r="J27" t="inlineStr">
        <is>
          <t>N/A</t>
        </is>
      </c>
      <c r="K27" t="inlineStr">
        <is>
          <t>NetDiligence-only, likely overlaps IND_09 but unconfirmed. No frequency data from any source.</t>
        </is>
      </c>
      <c r="L27" t="inlineStr">
        <is>
          <t>None</t>
        </is>
      </c>
    </row>
    <row r="28">
      <c r="A28" t="inlineStr">
        <is>
          <t>IND_27</t>
        </is>
      </c>
      <c r="B28" t="inlineStr">
        <is>
          <t>Communications (orphan)</t>
        </is>
      </c>
      <c r="C28" t="inlineStr">
        <is>
          <t>51 (approx)</t>
        </is>
      </c>
      <c r="D28" t="inlineStr">
        <is>
          <t>N/A</t>
        </is>
      </c>
      <c r="E28" t="inlineStr">
        <is>
          <t>N/A</t>
        </is>
      </c>
      <c r="F28" t="inlineStr">
        <is>
          <t>N/A</t>
        </is>
      </c>
      <c r="G28" t="inlineStr">
        <is>
          <t>Communications</t>
        </is>
      </c>
      <c r="H28" t="inlineStr">
        <is>
          <t>N/A</t>
        </is>
      </c>
      <c r="I28" t="inlineStr">
        <is>
          <t>N/A</t>
        </is>
      </c>
      <c r="J28" t="inlineStr">
        <is>
          <t>N/A</t>
        </is>
      </c>
      <c r="K28" t="inlineStr">
        <is>
          <t>IBM-only, likely overlaps IND_09/IND_26 but unconfirmed. No frequency data from any source.</t>
        </is>
      </c>
      <c r="L28" t="inlineStr">
        <is>
          <t>None</t>
        </is>
      </c>
    </row>
    <row r="29">
      <c r="A29" t="inlineStr">
        <is>
          <t>IND_28</t>
        </is>
      </c>
      <c r="B29" t="inlineStr">
        <is>
          <t>Consumer (orphan)</t>
        </is>
      </c>
      <c r="C29" t="inlineStr">
        <is>
          <t>N/A</t>
        </is>
      </c>
      <c r="D29" t="inlineStr">
        <is>
          <t>N/A</t>
        </is>
      </c>
      <c r="E29" t="inlineStr">
        <is>
          <t>N/A</t>
        </is>
      </c>
      <c r="F29" t="inlineStr">
        <is>
          <t>N/A</t>
        </is>
      </c>
      <c r="G29" t="inlineStr">
        <is>
          <t>Consumer</t>
        </is>
      </c>
      <c r="H29" t="inlineStr">
        <is>
          <t>N/A</t>
        </is>
      </c>
      <c r="I29" t="inlineStr">
        <is>
          <t>N/A</t>
        </is>
      </c>
      <c r="J29" t="inlineStr">
        <is>
          <t>N/A</t>
        </is>
      </c>
      <c r="K29" t="inlineStr">
        <is>
          <t>IBM-only category with no clear NAICS equivalent, unconfirmed. No frequency data from any source.</t>
        </is>
      </c>
      <c r="L29" t="inlineStr">
        <is>
          <t>None</t>
        </is>
      </c>
    </row>
    <row r="30">
      <c r="A30" t="inlineStr">
        <is>
          <t>IND_29</t>
        </is>
      </c>
      <c r="B30" t="inlineStr">
        <is>
          <t>Pharmaceuticals (orphan)</t>
        </is>
      </c>
      <c r="C30" t="inlineStr">
        <is>
          <t>325412</t>
        </is>
      </c>
      <c r="D30" t="inlineStr">
        <is>
          <t>N/A</t>
        </is>
      </c>
      <c r="E30" t="inlineStr">
        <is>
          <t>N/A</t>
        </is>
      </c>
      <c r="F30" t="inlineStr">
        <is>
          <t>N/A</t>
        </is>
      </c>
      <c r="G30" t="inlineStr">
        <is>
          <t>Pharmaceuticals</t>
        </is>
      </c>
      <c r="H30" t="inlineStr">
        <is>
          <t>N/A</t>
        </is>
      </c>
      <c r="I30" t="inlineStr">
        <is>
          <t>N/A</t>
        </is>
      </c>
      <c r="J30" t="inlineStr">
        <is>
          <t>N/A</t>
        </is>
      </c>
      <c r="K30" t="inlineStr">
        <is>
          <t>IBM-only category. No frequency data from any source.</t>
        </is>
      </c>
      <c r="L30" t="inlineStr">
        <is>
          <t>None</t>
        </is>
      </c>
    </row>
    <row r="31">
      <c r="A31" t="inlineStr">
        <is>
          <t>IND_30</t>
        </is>
      </c>
      <c r="B31" t="inlineStr">
        <is>
          <t>Research (orphan)</t>
        </is>
      </c>
      <c r="C31" t="inlineStr">
        <is>
          <t>5417</t>
        </is>
      </c>
      <c r="D31" t="inlineStr">
        <is>
          <t>N/A</t>
        </is>
      </c>
      <c r="E31" t="inlineStr">
        <is>
          <t>N/A</t>
        </is>
      </c>
      <c r="F31" t="inlineStr">
        <is>
          <t>N/A</t>
        </is>
      </c>
      <c r="G31" t="inlineStr">
        <is>
          <t>Research</t>
        </is>
      </c>
      <c r="H31" t="inlineStr">
        <is>
          <t>N/A</t>
        </is>
      </c>
      <c r="I31" t="inlineStr">
        <is>
          <t>N/A</t>
        </is>
      </c>
      <c r="J31" t="inlineStr">
        <is>
          <t>N/A</t>
        </is>
      </c>
      <c r="K31" t="inlineStr">
        <is>
          <t>IBM-only, was a candidate match for IND_14 but not chosen due to insufficient evidence either way. No frequency data.</t>
        </is>
      </c>
      <c r="L31" t="inlineStr">
        <is>
          <t>None</t>
        </is>
      </c>
    </row>
    <row r="32">
      <c r="A32" t="inlineStr">
        <is>
          <t>IND_31</t>
        </is>
      </c>
      <c r="B32" t="inlineStr">
        <is>
          <t>Unknown / Unclassified (orphan)</t>
        </is>
      </c>
      <c r="C32" t="inlineStr">
        <is>
          <t>N/A</t>
        </is>
      </c>
      <c r="D32" t="inlineStr">
        <is>
          <t>N/A</t>
        </is>
      </c>
      <c r="E32" t="inlineStr">
        <is>
          <t>N/A</t>
        </is>
      </c>
      <c r="F32" t="inlineStr">
        <is>
          <t>N/A</t>
        </is>
      </c>
      <c r="G32" t="inlineStr">
        <is>
          <t>N/A</t>
        </is>
      </c>
      <c r="H32" t="inlineStr">
        <is>
          <t>Unknown</t>
        </is>
      </c>
      <c r="I32" t="inlineStr">
        <is>
          <t>N/A</t>
        </is>
      </c>
      <c r="J32" t="inlineStr">
        <is>
          <t>N/A</t>
        </is>
      </c>
      <c r="K32" t="inlineStr">
        <is>
          <t>NetDiligence catch-all for unrecorded sector. Not usable for industry-specific lookups.</t>
        </is>
      </c>
      <c r="L3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24" customWidth="1" min="1" max="1"/>
    <col width="18" customWidth="1" min="2" max="2"/>
    <col width="14" customWidth="1" min="3" max="3"/>
    <col width="55" customWidth="1" min="4" max="4"/>
    <col width="46" customWidth="1" min="5" max="5"/>
    <col width="26" customWidth="1" min="6" max="6"/>
    <col width="34" customWidth="1" min="7" max="7"/>
    <col width="60" customWidth="1" min="8" max="8"/>
  </cols>
  <sheetData>
    <row r="1">
      <c r="A1" s="1">
        <f>== TABLE A : Annual Frequency ===</f>
        <v/>
      </c>
    </row>
    <row r="2">
      <c r="A2" s="2" t="inlineStr">
        <is>
          <t>Industry_ID</t>
        </is>
      </c>
      <c r="B2" s="2" t="inlineStr">
        <is>
          <t>Annual_Frequency</t>
        </is>
      </c>
      <c r="C2" s="2" t="inlineStr">
        <is>
          <t>Source_Report</t>
        </is>
      </c>
      <c r="D2" s="2" t="inlineStr">
        <is>
          <t>Source_Section</t>
        </is>
      </c>
      <c r="E2" s="2" t="n"/>
      <c r="F2" s="2" t="n"/>
      <c r="G2" s="2" t="n"/>
      <c r="H2" s="2" t="n"/>
    </row>
    <row r="3">
      <c r="A3" s="3" t="inlineStr">
        <is>
          <t>Overall (All Industries)</t>
        </is>
      </c>
      <c r="B3" s="4" t="n">
        <v>0.093</v>
      </c>
      <c r="C3" s="3" t="inlineStr">
        <is>
          <t>IRIS 2025</t>
        </is>
      </c>
      <c r="D3" s="3" t="inlineStr">
        <is>
          <t>Figure 6, p.11</t>
        </is>
      </c>
      <c r="E3" s="3" t="n"/>
      <c r="F3" s="3" t="n"/>
      <c r="G3" s="3" t="n"/>
      <c r="H3" s="3" t="n"/>
    </row>
    <row r="4">
      <c r="A4" s="3" t="inlineStr">
        <is>
          <t>Manufacturing</t>
        </is>
      </c>
      <c r="B4" s="4" t="n">
        <v>0.112</v>
      </c>
      <c r="C4" s="3" t="inlineStr">
        <is>
          <t>IRIS 2025</t>
        </is>
      </c>
      <c r="D4" s="3" t="inlineStr">
        <is>
          <t>Figure 8, p.13</t>
        </is>
      </c>
      <c r="E4" s="3" t="n"/>
      <c r="F4" s="3" t="n"/>
      <c r="G4" s="3" t="n"/>
      <c r="H4" s="3" t="n"/>
    </row>
    <row r="5">
      <c r="A5" s="3" t="inlineStr">
        <is>
          <t>Public</t>
        </is>
      </c>
      <c r="B5" s="4" t="n">
        <v>0.109</v>
      </c>
      <c r="C5" s="3" t="inlineStr">
        <is>
          <t>IRIS 2025</t>
        </is>
      </c>
      <c r="D5" s="3" t="inlineStr">
        <is>
          <t>Figure 8, p.13</t>
        </is>
      </c>
      <c r="E5" s="3" t="n"/>
      <c r="F5" s="3" t="n"/>
      <c r="G5" s="3" t="n"/>
      <c r="H5" s="3" t="n"/>
    </row>
    <row r="6">
      <c r="A6" s="3" t="inlineStr">
        <is>
          <t>Healthcare</t>
        </is>
      </c>
      <c r="B6" s="4" t="n">
        <v>0.091</v>
      </c>
      <c r="C6" s="3" t="inlineStr">
        <is>
          <t>IRIS 2025</t>
        </is>
      </c>
      <c r="D6" s="3" t="inlineStr">
        <is>
          <t>Figure 8, p.13</t>
        </is>
      </c>
      <c r="E6" s="3" t="n"/>
      <c r="F6" s="3" t="n"/>
      <c r="G6" s="3" t="n"/>
      <c r="H6" s="3" t="n"/>
    </row>
    <row r="7">
      <c r="A7" s="3" t="inlineStr">
        <is>
          <t>Information</t>
        </is>
      </c>
      <c r="B7" s="4" t="n">
        <v>0.08400000000000001</v>
      </c>
      <c r="C7" s="3" t="inlineStr">
        <is>
          <t>IRIS 2025</t>
        </is>
      </c>
      <c r="D7" s="3" t="inlineStr">
        <is>
          <t>Figure 8, p.13</t>
        </is>
      </c>
      <c r="E7" s="3" t="n"/>
      <c r="F7" s="3" t="n"/>
      <c r="G7" s="3" t="n"/>
      <c r="H7" s="3" t="n"/>
    </row>
    <row r="8">
      <c r="A8" s="3" t="inlineStr">
        <is>
          <t>Retail</t>
        </is>
      </c>
      <c r="B8" s="4" t="n">
        <v>0.073</v>
      </c>
      <c r="C8" s="3" t="inlineStr">
        <is>
          <t>IRIS 2025</t>
        </is>
      </c>
      <c r="D8" s="3" t="inlineStr">
        <is>
          <t>Figure 8, p.13</t>
        </is>
      </c>
      <c r="E8" s="3" t="n"/>
      <c r="F8" s="3" t="n"/>
      <c r="G8" s="3" t="n"/>
      <c r="H8" s="3" t="n"/>
    </row>
    <row r="9">
      <c r="A9" s="3" t="inlineStr">
        <is>
          <t>Financial</t>
        </is>
      </c>
      <c r="B9" s="4" t="n">
        <v>0.068</v>
      </c>
      <c r="C9" s="3" t="inlineStr">
        <is>
          <t>IRIS 2025</t>
        </is>
      </c>
      <c r="D9" s="3" t="inlineStr">
        <is>
          <t>Figure 8, p.13</t>
        </is>
      </c>
      <c r="E9" s="3" t="n"/>
      <c r="F9" s="3" t="n"/>
      <c r="G9" s="3" t="n"/>
      <c r="H9" s="3" t="n"/>
    </row>
    <row r="10">
      <c r="A10" s="3" t="inlineStr">
        <is>
          <t>Utilities</t>
        </is>
      </c>
      <c r="B10" s="4" t="n">
        <v>0.045</v>
      </c>
      <c r="C10" s="3" t="inlineStr">
        <is>
          <t>IRIS 2025</t>
        </is>
      </c>
      <c r="D10" s="3" t="inlineStr">
        <is>
          <t>Figure 8, p.13</t>
        </is>
      </c>
      <c r="E10" s="3" t="n"/>
      <c r="F10" s="3" t="n"/>
      <c r="G10" s="3" t="n"/>
      <c r="H10" s="3" t="n"/>
    </row>
    <row r="11">
      <c r="A11" s="3" t="inlineStr">
        <is>
          <t>Entertainment</t>
        </is>
      </c>
      <c r="B11" s="4" t="n">
        <v>0.041</v>
      </c>
      <c r="C11" s="3" t="inlineStr">
        <is>
          <t>IRIS 2025</t>
        </is>
      </c>
      <c r="D11" s="3" t="inlineStr">
        <is>
          <t>Figure 8, p.13</t>
        </is>
      </c>
      <c r="E11" s="3" t="n"/>
      <c r="F11" s="3" t="n"/>
      <c r="G11" s="3" t="n"/>
      <c r="H11" s="3" t="n"/>
    </row>
    <row r="12">
      <c r="A12" s="3" t="inlineStr">
        <is>
          <t>Mining</t>
        </is>
      </c>
      <c r="B12" s="4" t="inlineStr">
        <is>
          <t>N/A</t>
        </is>
      </c>
      <c r="C12" s="3" t="inlineStr">
        <is>
          <t>IRIS 2025</t>
        </is>
      </c>
      <c r="D12" s="3" t="inlineStr">
        <is>
          <t>Not shown in Figure 8 (only 8 of 20 NAICS sectors charted)</t>
        </is>
      </c>
      <c r="E12" s="3" t="n"/>
      <c r="F12" s="3" t="n"/>
      <c r="G12" s="3" t="n"/>
      <c r="H12" s="3" t="n"/>
    </row>
    <row r="13">
      <c r="A13" s="3" t="inlineStr">
        <is>
          <t>Transportation</t>
        </is>
      </c>
      <c r="B13" s="4" t="inlineStr">
        <is>
          <t>N/A</t>
        </is>
      </c>
      <c r="C13" s="3" t="inlineStr">
        <is>
          <t>IRIS 2025</t>
        </is>
      </c>
      <c r="D13" s="3" t="inlineStr">
        <is>
          <t>Not shown in Figure 8 (only 8 of 20 NAICS sectors charted)</t>
        </is>
      </c>
      <c r="E13" s="3" t="n"/>
      <c r="F13" s="3" t="n"/>
      <c r="G13" s="3" t="n"/>
      <c r="H13" s="3" t="n"/>
    </row>
    <row r="14">
      <c r="A14" s="3" t="inlineStr">
        <is>
          <t>Construction</t>
        </is>
      </c>
      <c r="B14" s="4" t="inlineStr">
        <is>
          <t>N/A</t>
        </is>
      </c>
      <c r="C14" s="3" t="inlineStr">
        <is>
          <t>IRIS 2025</t>
        </is>
      </c>
      <c r="D14" s="3" t="inlineStr">
        <is>
          <t>Not shown in Figure 8 (only 8 of 20 NAICS sectors charted)</t>
        </is>
      </c>
      <c r="E14" s="3" t="n"/>
      <c r="F14" s="3" t="n"/>
      <c r="G14" s="3" t="n"/>
      <c r="H14" s="3" t="n"/>
    </row>
    <row r="15">
      <c r="A15" s="3" t="inlineStr">
        <is>
          <t>Other</t>
        </is>
      </c>
      <c r="B15" s="4" t="inlineStr">
        <is>
          <t>N/A</t>
        </is>
      </c>
      <c r="C15" s="3" t="inlineStr">
        <is>
          <t>IRIS 2025</t>
        </is>
      </c>
      <c r="D15" s="3" t="inlineStr">
        <is>
          <t>Not shown in Figure 8 (only 8 of 20 NAICS sectors charted)</t>
        </is>
      </c>
      <c r="E15" s="3" t="n"/>
      <c r="F15" s="3" t="n"/>
      <c r="G15" s="3" t="n"/>
      <c r="H15" s="3" t="n"/>
    </row>
    <row r="16">
      <c r="A16" s="3" t="inlineStr">
        <is>
          <t>Agriculture</t>
        </is>
      </c>
      <c r="B16" s="4" t="inlineStr">
        <is>
          <t>N/A</t>
        </is>
      </c>
      <c r="C16" s="3" t="inlineStr">
        <is>
          <t>IRIS 2025</t>
        </is>
      </c>
      <c r="D16" s="3" t="inlineStr">
        <is>
          <t>Not shown in Figure 8 (only 8 of 20 NAICS sectors charted)</t>
        </is>
      </c>
      <c r="E16" s="3" t="n"/>
      <c r="F16" s="3" t="n"/>
      <c r="G16" s="3" t="n"/>
      <c r="H16" s="3" t="n"/>
    </row>
    <row r="17">
      <c r="A17" s="3" t="inlineStr">
        <is>
          <t>Administrative</t>
        </is>
      </c>
      <c r="B17" s="4" t="inlineStr">
        <is>
          <t>N/A</t>
        </is>
      </c>
      <c r="C17" s="3" t="inlineStr">
        <is>
          <t>IRIS 2025</t>
        </is>
      </c>
      <c r="D17" s="3" t="inlineStr">
        <is>
          <t>Not shown in Figure 8 (only 8 of 20 NAICS sectors charted)</t>
        </is>
      </c>
      <c r="E17" s="3" t="n"/>
      <c r="F17" s="3" t="n"/>
      <c r="G17" s="3" t="n"/>
      <c r="H17" s="3" t="n"/>
    </row>
    <row r="18">
      <c r="A18" s="3" t="inlineStr">
        <is>
          <t>Real Estate</t>
        </is>
      </c>
      <c r="B18" s="4" t="inlineStr">
        <is>
          <t>N/A</t>
        </is>
      </c>
      <c r="C18" s="3" t="inlineStr">
        <is>
          <t>IRIS 2025</t>
        </is>
      </c>
      <c r="D18" s="3" t="inlineStr">
        <is>
          <t>Not shown in Figure 8 (only 8 of 20 NAICS sectors charted)</t>
        </is>
      </c>
      <c r="E18" s="3" t="n"/>
      <c r="F18" s="3" t="n"/>
      <c r="G18" s="3" t="n"/>
      <c r="H18" s="3" t="n"/>
    </row>
    <row r="19">
      <c r="A19" s="3" t="inlineStr">
        <is>
          <t>Trade</t>
        </is>
      </c>
      <c r="B19" s="4" t="inlineStr">
        <is>
          <t>N/A</t>
        </is>
      </c>
      <c r="C19" s="3" t="inlineStr">
        <is>
          <t>IRIS 2025</t>
        </is>
      </c>
      <c r="D19" s="3" t="inlineStr">
        <is>
          <t>Not shown in Figure 8 (only 8 of 20 NAICS sectors charted)</t>
        </is>
      </c>
      <c r="E19" s="3" t="n"/>
      <c r="F19" s="3" t="n"/>
      <c r="G19" s="3" t="n"/>
      <c r="H19" s="3" t="n"/>
    </row>
    <row r="20">
      <c r="A20" s="3" t="inlineStr">
        <is>
          <t>Management</t>
        </is>
      </c>
      <c r="B20" s="4" t="inlineStr">
        <is>
          <t>N/A</t>
        </is>
      </c>
      <c r="C20" s="3" t="inlineStr">
        <is>
          <t>IRIS 2025</t>
        </is>
      </c>
      <c r="D20" s="3" t="inlineStr">
        <is>
          <t>Not shown in Figure 8 (only 8 of 20 NAICS sectors charted)</t>
        </is>
      </c>
      <c r="E20" s="3" t="n"/>
      <c r="F20" s="3" t="n"/>
      <c r="G20" s="3" t="n"/>
      <c r="H20" s="3" t="n"/>
    </row>
    <row r="21">
      <c r="A21" s="3" t="inlineStr">
        <is>
          <t>Hospitality</t>
        </is>
      </c>
      <c r="B21" s="4" t="inlineStr">
        <is>
          <t>N/A</t>
        </is>
      </c>
      <c r="C21" s="3" t="inlineStr">
        <is>
          <t>IRIS 2025</t>
        </is>
      </c>
      <c r="D21" s="3" t="inlineStr">
        <is>
          <t>Not shown in Figure 8 (only 8 of 20 NAICS sectors charted)</t>
        </is>
      </c>
      <c r="E21" s="3" t="n"/>
      <c r="F21" s="3" t="n"/>
      <c r="G21" s="3" t="n"/>
      <c r="H21" s="3" t="n"/>
    </row>
    <row r="22">
      <c r="A22" s="3" t="inlineStr">
        <is>
          <t>Professional</t>
        </is>
      </c>
      <c r="B22" s="4" t="inlineStr">
        <is>
          <t>N/A</t>
        </is>
      </c>
      <c r="C22" s="3" t="inlineStr">
        <is>
          <t>IRIS 2025</t>
        </is>
      </c>
      <c r="D22" s="3" t="inlineStr">
        <is>
          <t>Not shown in Figure 8 (only 8 of 20 NAICS sectors charted)</t>
        </is>
      </c>
      <c r="E22" s="3" t="n"/>
      <c r="F22" s="3" t="n"/>
      <c r="G22" s="3" t="n"/>
      <c r="H22" s="3" t="n"/>
    </row>
    <row r="23">
      <c r="A23" s="3" t="inlineStr">
        <is>
          <t>Education</t>
        </is>
      </c>
      <c r="B23" s="4" t="inlineStr">
        <is>
          <t>N/A</t>
        </is>
      </c>
      <c r="C23" s="3" t="inlineStr">
        <is>
          <t>IRIS 2025</t>
        </is>
      </c>
      <c r="D23" s="3" t="inlineStr">
        <is>
          <t>Not shown in Figure 8 (only 8 of 20 NAICS sectors charted)</t>
        </is>
      </c>
      <c r="E23" s="3" t="n"/>
      <c r="F23" s="3" t="n"/>
      <c r="G23" s="3" t="n"/>
      <c r="H23" s="3" t="n"/>
    </row>
    <row r="25">
      <c r="A25" s="1">
        <f>== TABLE B : Industry Multiplier ===</f>
        <v/>
      </c>
    </row>
    <row r="26">
      <c r="A26" s="2" t="inlineStr">
        <is>
          <t>Industry_ID</t>
        </is>
      </c>
      <c r="B26" s="2" t="inlineStr">
        <is>
          <t>Relative_Multiplier</t>
        </is>
      </c>
      <c r="C26" s="2" t="inlineStr">
        <is>
          <t>Source_Report</t>
        </is>
      </c>
      <c r="D26" s="2" t="inlineStr">
        <is>
          <t>Source_Section</t>
        </is>
      </c>
      <c r="E26" s="2" t="n"/>
      <c r="F26" s="2" t="n"/>
      <c r="G26" s="2" t="n"/>
      <c r="H26" s="2" t="n"/>
    </row>
    <row r="27">
      <c r="A27" s="3" t="inlineStr">
        <is>
          <t>Utilities</t>
        </is>
      </c>
      <c r="B27" s="5" t="n">
        <v>0.62</v>
      </c>
      <c r="C27" s="3" t="inlineStr">
        <is>
          <t>IRIS 2025</t>
        </is>
      </c>
      <c r="D27" s="3" t="inlineStr">
        <is>
          <t>Figure A1 (Appendix 3), p.34</t>
        </is>
      </c>
      <c r="E27" s="3" t="n"/>
      <c r="F27" s="3" t="n"/>
      <c r="G27" s="3" t="n"/>
      <c r="H27" s="3" t="n"/>
    </row>
    <row r="28">
      <c r="A28" s="3" t="inlineStr">
        <is>
          <t>Mining</t>
        </is>
      </c>
      <c r="B28" s="5" t="n">
        <v>0.76</v>
      </c>
      <c r="C28" s="3" t="inlineStr">
        <is>
          <t>IRIS 2025</t>
        </is>
      </c>
      <c r="D28" s="3" t="inlineStr">
        <is>
          <t>Figure A1 (Appendix 3), p.34</t>
        </is>
      </c>
      <c r="E28" s="3" t="n"/>
      <c r="F28" s="3" t="n"/>
      <c r="G28" s="3" t="n"/>
      <c r="H28" s="3" t="n"/>
    </row>
    <row r="29">
      <c r="A29" s="3" t="inlineStr">
        <is>
          <t>Transportation</t>
        </is>
      </c>
      <c r="B29" s="5" t="n">
        <v>0.78</v>
      </c>
      <c r="C29" s="3" t="inlineStr">
        <is>
          <t>IRIS 2025</t>
        </is>
      </c>
      <c r="D29" s="3" t="inlineStr">
        <is>
          <t>Figure A1 (Appendix 3), p.34</t>
        </is>
      </c>
      <c r="E29" s="3" t="n"/>
      <c r="F29" s="3" t="n"/>
      <c r="G29" s="3" t="n"/>
      <c r="H29" s="3" t="n"/>
    </row>
    <row r="30">
      <c r="A30" s="3" t="inlineStr">
        <is>
          <t>Construction</t>
        </is>
      </c>
      <c r="B30" s="5" t="n">
        <v>0.91</v>
      </c>
      <c r="C30" s="3" t="inlineStr">
        <is>
          <t>IRIS 2025</t>
        </is>
      </c>
      <c r="D30" s="3" t="inlineStr">
        <is>
          <t>Figure A1 (Appendix 3), p.34</t>
        </is>
      </c>
      <c r="E30" s="3" t="n"/>
      <c r="F30" s="3" t="n"/>
      <c r="G30" s="3" t="n"/>
      <c r="H30" s="3" t="n"/>
    </row>
    <row r="31">
      <c r="A31" s="3" t="inlineStr">
        <is>
          <t>Other</t>
        </is>
      </c>
      <c r="B31" s="5" t="n">
        <v>0.92</v>
      </c>
      <c r="C31" s="3" t="inlineStr">
        <is>
          <t>IRIS 2025</t>
        </is>
      </c>
      <c r="D31" s="3" t="inlineStr">
        <is>
          <t>Figure A1 (Appendix 3), p.34</t>
        </is>
      </c>
      <c r="E31" s="3" t="n"/>
      <c r="F31" s="3" t="n"/>
      <c r="G31" s="3" t="n"/>
      <c r="H31" s="3" t="n"/>
    </row>
    <row r="32">
      <c r="A32" s="3" t="inlineStr">
        <is>
          <t>Agriculture</t>
        </is>
      </c>
      <c r="B32" s="5" t="n">
        <v>0.92</v>
      </c>
      <c r="C32" s="3" t="inlineStr">
        <is>
          <t>IRIS 2025</t>
        </is>
      </c>
      <c r="D32" s="3" t="inlineStr">
        <is>
          <t>Figure A1 (Appendix 3), p.34</t>
        </is>
      </c>
      <c r="E32" s="3" t="n"/>
      <c r="F32" s="3" t="n"/>
      <c r="G32" s="3" t="n"/>
      <c r="H32" s="3" t="n"/>
    </row>
    <row r="33">
      <c r="A33" s="3" t="inlineStr">
        <is>
          <t>Administrative</t>
        </is>
      </c>
      <c r="B33" s="5" t="n">
        <v>0.92</v>
      </c>
      <c r="C33" s="3" t="inlineStr">
        <is>
          <t>IRIS 2025</t>
        </is>
      </c>
      <c r="D33" s="3" t="inlineStr">
        <is>
          <t>Figure A1 (Appendix 3), p.34</t>
        </is>
      </c>
      <c r="E33" s="3" t="n"/>
      <c r="F33" s="3" t="n"/>
      <c r="G33" s="3" t="n"/>
      <c r="H33" s="3" t="n"/>
    </row>
    <row r="34">
      <c r="A34" s="3" t="inlineStr">
        <is>
          <t>Real Estate</t>
        </is>
      </c>
      <c r="B34" s="5" t="n">
        <v>0.93</v>
      </c>
      <c r="C34" s="3" t="inlineStr">
        <is>
          <t>IRIS 2025</t>
        </is>
      </c>
      <c r="D34" s="3" t="inlineStr">
        <is>
          <t>Figure A1 (Appendix 3), p.34</t>
        </is>
      </c>
      <c r="E34" s="3" t="n"/>
      <c r="F34" s="3" t="n"/>
      <c r="G34" s="3" t="n"/>
      <c r="H34" s="3" t="n"/>
    </row>
    <row r="35">
      <c r="A35" s="3" t="inlineStr">
        <is>
          <t>Entertainment</t>
        </is>
      </c>
      <c r="B35" s="5" t="n">
        <v>0.9399999999999999</v>
      </c>
      <c r="C35" s="3" t="inlineStr">
        <is>
          <t>IRIS 2025</t>
        </is>
      </c>
      <c r="D35" s="3" t="inlineStr">
        <is>
          <t>Figure A1 (Appendix 3), p.34</t>
        </is>
      </c>
      <c r="E35" s="3" t="n"/>
      <c r="F35" s="3" t="n"/>
      <c r="G35" s="3" t="n"/>
      <c r="H35" s="3" t="n"/>
    </row>
    <row r="36">
      <c r="A36" s="3" t="inlineStr">
        <is>
          <t>Trade</t>
        </is>
      </c>
      <c r="B36" s="5" t="n">
        <v>0.97</v>
      </c>
      <c r="C36" s="3" t="inlineStr">
        <is>
          <t>IRIS 2025</t>
        </is>
      </c>
      <c r="D36" s="3" t="inlineStr">
        <is>
          <t>Figure A1 (Appendix 3), p.34</t>
        </is>
      </c>
      <c r="E36" s="3" t="n"/>
      <c r="F36" s="3" t="n"/>
      <c r="G36" s="3" t="n"/>
      <c r="H36" s="3" t="n"/>
    </row>
    <row r="37">
      <c r="A37" s="3" t="inlineStr">
        <is>
          <t>Manufacturing</t>
        </is>
      </c>
      <c r="B37" s="5" t="n">
        <v>1.03</v>
      </c>
      <c r="C37" s="3" t="inlineStr">
        <is>
          <t>IRIS 2025</t>
        </is>
      </c>
      <c r="D37" s="3" t="inlineStr">
        <is>
          <t>Figure A1 (Appendix 3), p.34</t>
        </is>
      </c>
      <c r="E37" s="3" t="n"/>
      <c r="F37" s="3" t="n"/>
      <c r="G37" s="3" t="n"/>
      <c r="H37" s="3" t="n"/>
    </row>
    <row r="38">
      <c r="A38" s="3" t="inlineStr">
        <is>
          <t>Management</t>
        </is>
      </c>
      <c r="B38" s="5" t="n">
        <v>1.08</v>
      </c>
      <c r="C38" s="3" t="inlineStr">
        <is>
          <t>IRIS 2025</t>
        </is>
      </c>
      <c r="D38" s="3" t="inlineStr">
        <is>
          <t>Figure A1 (Appendix 3), p.34</t>
        </is>
      </c>
      <c r="E38" s="3" t="n"/>
      <c r="F38" s="3" t="n"/>
      <c r="G38" s="3" t="n"/>
      <c r="H38" s="3" t="n"/>
    </row>
    <row r="39">
      <c r="A39" s="3" t="inlineStr">
        <is>
          <t>Hospitality</t>
        </is>
      </c>
      <c r="B39" s="5" t="n">
        <v>1.15</v>
      </c>
      <c r="C39" s="3" t="inlineStr">
        <is>
          <t>IRIS 2025</t>
        </is>
      </c>
      <c r="D39" s="3" t="inlineStr">
        <is>
          <t>Figure A1 (Appendix 3), p.34</t>
        </is>
      </c>
      <c r="E39" s="3" t="n"/>
      <c r="F39" s="3" t="n"/>
      <c r="G39" s="3" t="n"/>
      <c r="H39" s="3" t="n"/>
    </row>
    <row r="40">
      <c r="A40" s="3" t="inlineStr">
        <is>
          <t>Retail</t>
        </is>
      </c>
      <c r="B40" s="5" t="n">
        <v>1.19</v>
      </c>
      <c r="C40" s="3" t="inlineStr">
        <is>
          <t>IRIS 2025</t>
        </is>
      </c>
      <c r="D40" s="3" t="inlineStr">
        <is>
          <t>Figure A1 (Appendix 3), p.34</t>
        </is>
      </c>
      <c r="E40" s="3" t="n"/>
      <c r="F40" s="3" t="n"/>
      <c r="G40" s="3" t="n"/>
      <c r="H40" s="3" t="n"/>
    </row>
    <row r="41">
      <c r="A41" s="3" t="inlineStr">
        <is>
          <t>Public</t>
        </is>
      </c>
      <c r="B41" s="5" t="n">
        <v>1.34</v>
      </c>
      <c r="C41" s="3" t="inlineStr">
        <is>
          <t>IRIS 2025</t>
        </is>
      </c>
      <c r="D41" s="3" t="inlineStr">
        <is>
          <t>Figure A1 (Appendix 3), p.34</t>
        </is>
      </c>
      <c r="E41" s="3" t="n"/>
      <c r="F41" s="3" t="n"/>
      <c r="G41" s="3" t="n"/>
      <c r="H41" s="3" t="n"/>
    </row>
    <row r="42">
      <c r="A42" s="3" t="inlineStr">
        <is>
          <t>Healthcare</t>
        </is>
      </c>
      <c r="B42" s="5" t="n">
        <v>1.34</v>
      </c>
      <c r="C42" s="3" t="inlineStr">
        <is>
          <t>IRIS 2025</t>
        </is>
      </c>
      <c r="D42" s="3" t="inlineStr">
        <is>
          <t>Figure A1 (Appendix 3), p.34</t>
        </is>
      </c>
      <c r="E42" s="3" t="n"/>
      <c r="F42" s="3" t="n"/>
      <c r="G42" s="3" t="n"/>
      <c r="H42" s="3" t="n"/>
    </row>
    <row r="43">
      <c r="A43" s="3" t="inlineStr">
        <is>
          <t>Financial</t>
        </is>
      </c>
      <c r="B43" s="5" t="n">
        <v>1.44</v>
      </c>
      <c r="C43" s="3" t="inlineStr">
        <is>
          <t>IRIS 2025</t>
        </is>
      </c>
      <c r="D43" s="3" t="inlineStr">
        <is>
          <t>Figure A1 (Appendix 3), p.34</t>
        </is>
      </c>
      <c r="E43" s="3" t="n"/>
      <c r="F43" s="3" t="n"/>
      <c r="G43" s="3" t="n"/>
      <c r="H43" s="3" t="n"/>
    </row>
    <row r="44">
      <c r="A44" s="3" t="inlineStr">
        <is>
          <t>Professional</t>
        </is>
      </c>
      <c r="B44" s="5" t="n">
        <v>1.5</v>
      </c>
      <c r="C44" s="3" t="inlineStr">
        <is>
          <t>IRIS 2025</t>
        </is>
      </c>
      <c r="D44" s="3" t="inlineStr">
        <is>
          <t>Figure A1 (Appendix 3), p.34</t>
        </is>
      </c>
      <c r="E44" s="3" t="n"/>
      <c r="F44" s="3" t="n"/>
      <c r="G44" s="3" t="n"/>
      <c r="H44" s="3" t="n"/>
    </row>
    <row r="45">
      <c r="A45" s="3" t="inlineStr">
        <is>
          <t>Information</t>
        </is>
      </c>
      <c r="B45" s="5" t="n">
        <v>1.55</v>
      </c>
      <c r="C45" s="3" t="inlineStr">
        <is>
          <t>IRIS 2025</t>
        </is>
      </c>
      <c r="D45" s="3" t="inlineStr">
        <is>
          <t>Figure A1 (Appendix 3), p.34</t>
        </is>
      </c>
      <c r="E45" s="3" t="n"/>
      <c r="F45" s="3" t="n"/>
      <c r="G45" s="3" t="n"/>
      <c r="H45" s="3" t="n"/>
    </row>
    <row r="46">
      <c r="A46" s="3" t="inlineStr">
        <is>
          <t>Education</t>
        </is>
      </c>
      <c r="B46" s="5" t="n">
        <v>1.6</v>
      </c>
      <c r="C46" s="3" t="inlineStr">
        <is>
          <t>IRIS 2025</t>
        </is>
      </c>
      <c r="D46" s="3" t="inlineStr">
        <is>
          <t>Figure A1 (Appendix 3), p.34</t>
        </is>
      </c>
      <c r="E46" s="3" t="n"/>
      <c r="F46" s="3" t="n"/>
      <c r="G46" s="3" t="n"/>
      <c r="H46" s="3" t="n"/>
    </row>
    <row r="48">
      <c r="A48" s="1">
        <f>== TABLE C : Revenue Multiplier ===</f>
        <v/>
      </c>
    </row>
    <row r="49">
      <c r="A49" s="2" t="inlineStr">
        <is>
          <t>Revenue_Class</t>
        </is>
      </c>
      <c r="B49" s="2" t="inlineStr">
        <is>
          <t>Revenue_Multiplier</t>
        </is>
      </c>
      <c r="C49" s="2" t="inlineStr">
        <is>
          <t>Source_Report</t>
        </is>
      </c>
      <c r="D49" s="2" t="inlineStr">
        <is>
          <t>Source_Section</t>
        </is>
      </c>
      <c r="E49" s="2" t="n"/>
      <c r="F49" s="2" t="n"/>
      <c r="G49" s="2" t="n"/>
      <c r="H49" s="2" t="n"/>
    </row>
    <row r="50">
      <c r="A50" s="3" t="inlineStr">
        <is>
          <t>Less than $10M</t>
        </is>
      </c>
      <c r="B50" s="5" t="n">
        <v>0.6</v>
      </c>
      <c r="C50" s="3" t="inlineStr">
        <is>
          <t>IRIS 2025</t>
        </is>
      </c>
      <c r="D50" s="3" t="inlineStr">
        <is>
          <t>Figure A2 (Appendix 3), p.34</t>
        </is>
      </c>
      <c r="E50" s="3" t="n"/>
      <c r="F50" s="3" t="n"/>
      <c r="G50" s="3" t="n"/>
      <c r="H50" s="3" t="n"/>
    </row>
    <row r="51">
      <c r="A51" s="3" t="inlineStr">
        <is>
          <t>$10M to $100M</t>
        </is>
      </c>
      <c r="B51" s="5" t="n">
        <v>0.67</v>
      </c>
      <c r="C51" s="3" t="inlineStr">
        <is>
          <t>IRIS 2025</t>
        </is>
      </c>
      <c r="D51" s="3" t="inlineStr">
        <is>
          <t>Figure A2 (Appendix 3), p.34</t>
        </is>
      </c>
      <c r="E51" s="3" t="n"/>
      <c r="F51" s="3" t="n"/>
      <c r="G51" s="3" t="n"/>
      <c r="H51" s="3" t="n"/>
    </row>
    <row r="52">
      <c r="A52" s="3" t="inlineStr">
        <is>
          <t>$100M to $1B</t>
        </is>
      </c>
      <c r="B52" s="5" t="n">
        <v>0.8</v>
      </c>
      <c r="C52" s="3" t="inlineStr">
        <is>
          <t>IRIS 2025</t>
        </is>
      </c>
      <c r="D52" s="3" t="inlineStr">
        <is>
          <t>Figure A2 (Appendix 3), p.34</t>
        </is>
      </c>
      <c r="E52" s="3" t="n"/>
      <c r="F52" s="3" t="n"/>
      <c r="G52" s="3" t="n"/>
      <c r="H52" s="3" t="n"/>
    </row>
    <row r="53">
      <c r="A53" s="3" t="inlineStr">
        <is>
          <t>$1B to $10B</t>
        </is>
      </c>
      <c r="B53" s="5" t="n">
        <v>1.2</v>
      </c>
      <c r="C53" s="3" t="inlineStr">
        <is>
          <t>IRIS 2025</t>
        </is>
      </c>
      <c r="D53" s="3" t="inlineStr">
        <is>
          <t>Figure A2 (Appendix 3), p.34</t>
        </is>
      </c>
      <c r="E53" s="3" t="n"/>
      <c r="F53" s="3" t="n"/>
      <c r="G53" s="3" t="n"/>
      <c r="H53" s="3" t="n"/>
    </row>
    <row r="54">
      <c r="A54" s="3" t="inlineStr">
        <is>
          <t>$10B to $100B</t>
        </is>
      </c>
      <c r="B54" s="5" t="n">
        <v>2.49</v>
      </c>
      <c r="C54" s="3" t="inlineStr">
        <is>
          <t>IRIS 2025</t>
        </is>
      </c>
      <c r="D54" s="3" t="inlineStr">
        <is>
          <t>Figure A2 (Appendix 3), p.34</t>
        </is>
      </c>
      <c r="E54" s="3" t="n"/>
      <c r="F54" s="3" t="n"/>
      <c r="G54" s="3" t="n"/>
      <c r="H54" s="3" t="n"/>
    </row>
    <row r="55">
      <c r="A55" s="3" t="inlineStr">
        <is>
          <t>More than $100B</t>
        </is>
      </c>
      <c r="B55" s="5" t="n">
        <v>3.46</v>
      </c>
      <c r="C55" s="3" t="inlineStr">
        <is>
          <t>IRIS 2025</t>
        </is>
      </c>
      <c r="D55" s="3" t="inlineStr">
        <is>
          <t>Figure A2 (Appendix 3), p.34</t>
        </is>
      </c>
      <c r="E55" s="3" t="n"/>
      <c r="F55" s="3" t="n"/>
      <c r="G55" s="3" t="n"/>
      <c r="H55"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cols>
    <col width="26" customWidth="1" min="1" max="1"/>
    <col width="30" customWidth="1" min="2" max="2"/>
    <col width="12" customWidth="1" min="3" max="3"/>
    <col width="12" customWidth="1" min="4" max="4"/>
    <col width="34" customWidth="1" min="5" max="5"/>
    <col width="80" customWidth="1" min="6" max="6"/>
  </cols>
  <sheetData>
    <row r="1">
      <c r="A1" s="2" t="inlineStr">
        <is>
          <t>Industry_ID</t>
        </is>
      </c>
      <c r="B1" s="2" t="inlineStr">
        <is>
          <t>Incident_Type</t>
        </is>
      </c>
      <c r="C1" s="2" t="inlineStr">
        <is>
          <t>Frequency</t>
        </is>
      </c>
      <c r="D1" s="2" t="inlineStr">
        <is>
          <t>Unit</t>
        </is>
      </c>
      <c r="E1" s="2" t="inlineStr">
        <is>
          <t>Source_Report</t>
        </is>
      </c>
      <c r="F1" s="2" t="inlineStr">
        <is>
          <t>Source_Section</t>
        </is>
      </c>
    </row>
    <row r="2">
      <c r="A2" s="3" t="inlineStr">
        <is>
          <t>Overall (All Industries)</t>
        </is>
      </c>
      <c r="B2" s="3" t="inlineStr">
        <is>
          <t>System Intrusion</t>
        </is>
      </c>
      <c r="C2" s="4" t="n">
        <v>0.61</v>
      </c>
      <c r="D2" s="3" t="inlineStr">
        <is>
          <t>Proportion</t>
        </is>
      </c>
      <c r="E2" s="3" t="inlineStr">
        <is>
          <t>Verizon 2026 Data Breach Investigations Report</t>
        </is>
      </c>
      <c r="F2" s="3" t="inlineStr">
        <is>
          <t>The big picture (top-5 pattern trend chart), p.15 - 2026 dataset</t>
        </is>
      </c>
    </row>
    <row r="3">
      <c r="A3" s="3" t="inlineStr">
        <is>
          <t>Overall (All Industries)</t>
        </is>
      </c>
      <c r="B3" s="3" t="inlineStr">
        <is>
          <t>Social Engineering</t>
        </is>
      </c>
      <c r="C3" s="4" t="n">
        <v>0.17</v>
      </c>
      <c r="D3" s="3" t="inlineStr">
        <is>
          <t>Proportion</t>
        </is>
      </c>
      <c r="E3" s="3" t="inlineStr">
        <is>
          <t>Verizon 2026 Data Breach Investigations Report</t>
        </is>
      </c>
      <c r="F3" s="3" t="inlineStr">
        <is>
          <t>The big picture (top-5 pattern trend chart), p.15 - 2026 dataset</t>
        </is>
      </c>
    </row>
    <row r="4">
      <c r="A4" s="3" t="inlineStr">
        <is>
          <t>Overall (All Industries)</t>
        </is>
      </c>
      <c r="B4" s="3" t="inlineStr">
        <is>
          <t>Basic Web Application Attacks</t>
        </is>
      </c>
      <c r="C4" s="4" t="n">
        <v>0.1</v>
      </c>
      <c r="D4" s="3" t="inlineStr">
        <is>
          <t>Proportion</t>
        </is>
      </c>
      <c r="E4" s="3" t="inlineStr">
        <is>
          <t>Verizon 2026 Data Breach Investigations Report</t>
        </is>
      </c>
      <c r="F4" s="3" t="inlineStr">
        <is>
          <t>The big picture (top-5 pattern trend chart), p.15 - 2026 dataset</t>
        </is>
      </c>
    </row>
    <row r="5">
      <c r="A5" s="3" t="inlineStr">
        <is>
          <t>Overall (All Industries)</t>
        </is>
      </c>
      <c r="B5" s="3" t="inlineStr">
        <is>
          <t>Miscellaneous Errors</t>
        </is>
      </c>
      <c r="C5" s="4" t="n">
        <v>0.08</v>
      </c>
      <c r="D5" s="3" t="inlineStr">
        <is>
          <t>Proportion</t>
        </is>
      </c>
      <c r="E5" s="3" t="inlineStr">
        <is>
          <t>Verizon 2026 Data Breach Investigations Report</t>
        </is>
      </c>
      <c r="F5" s="3" t="inlineStr">
        <is>
          <t>The big picture (top-5 pattern trend chart), p.15 - 2026 dataset</t>
        </is>
      </c>
    </row>
    <row r="6">
      <c r="A6" s="3" t="inlineStr">
        <is>
          <t>Overall (All Industries)</t>
        </is>
      </c>
      <c r="B6" s="3" t="inlineStr">
        <is>
          <t>Privilege Misuse</t>
        </is>
      </c>
      <c r="C6" s="4" t="n">
        <v>0.03</v>
      </c>
      <c r="D6" s="3" t="inlineStr">
        <is>
          <t>Proportion</t>
        </is>
      </c>
      <c r="E6" s="3" t="inlineStr">
        <is>
          <t>Verizon 2026 Data Breach Investigations Report</t>
        </is>
      </c>
      <c r="F6" s="3" t="inlineStr">
        <is>
          <t>The big picture (top-5 pattern trend chart), p.15 - 2026 dataset</t>
        </is>
      </c>
    </row>
    <row r="7">
      <c r="A7" s="3" t="inlineStr">
        <is>
          <t>Accommodation</t>
        </is>
      </c>
      <c r="B7" s="3" t="inlineStr">
        <is>
          <t>System Intrusion</t>
        </is>
      </c>
      <c r="C7" s="4" t="n">
        <v>0.712</v>
      </c>
      <c r="D7" s="3" t="inlineStr">
        <is>
          <t>Proportion</t>
        </is>
      </c>
      <c r="E7" s="3" t="inlineStr">
        <is>
          <t>Verizon 2026 Data Breach Investigations Report</t>
        </is>
      </c>
      <c r="F7" s="3" t="inlineStr">
        <is>
          <t>Figure 78 (Breaches by industry), p.78-79; Table 3, p.77 - calculated as (pattern breach count) / (industry total breaches). No independently stated combined top-3 % exists for this industry (no dedicated section/Table 4 entry) to cross-check against.</t>
        </is>
      </c>
    </row>
    <row r="8">
      <c r="A8" s="3" t="inlineStr">
        <is>
          <t>Accommodation</t>
        </is>
      </c>
      <c r="B8" s="3" t="inlineStr">
        <is>
          <t>Social Engineering</t>
        </is>
      </c>
      <c r="C8" s="4" t="n">
        <v>0.08400000000000001</v>
      </c>
      <c r="D8" s="3" t="inlineStr">
        <is>
          <t>Proportion</t>
        </is>
      </c>
      <c r="E8" s="3" t="inlineStr">
        <is>
          <t>Verizon 2026 Data Breach Investigations Report</t>
        </is>
      </c>
      <c r="F8" s="3" t="inlineStr">
        <is>
          <t>Figure 78 (Breaches by industry), p.78-79; Table 3, p.77 - calculated as (pattern breach count) / (industry total breaches). No independently stated combined top-3 % exists for this industry (no dedicated section/Table 4 entry) to cross-check against.</t>
        </is>
      </c>
    </row>
    <row r="9">
      <c r="A9" s="3" t="inlineStr">
        <is>
          <t>Accommodation</t>
        </is>
      </c>
      <c r="B9" s="3" t="inlineStr">
        <is>
          <t>Basic Web Application Attacks</t>
        </is>
      </c>
      <c r="C9" s="4" t="n">
        <v>0.104</v>
      </c>
      <c r="D9" s="3" t="inlineStr">
        <is>
          <t>Proportion</t>
        </is>
      </c>
      <c r="E9" s="3" t="inlineStr">
        <is>
          <t>Verizon 2026 Data Breach Investigations Report</t>
        </is>
      </c>
      <c r="F9" s="3" t="inlineStr">
        <is>
          <t>Figure 78 (Breaches by industry), p.78-79; Table 3, p.77 - calculated as (pattern breach count) / (industry total breaches). No independently stated combined top-3 % exists for this industry (no dedicated section/Table 4 entry) to cross-check against.</t>
        </is>
      </c>
    </row>
    <row r="10">
      <c r="A10" s="3" t="inlineStr">
        <is>
          <t>Accommodation</t>
        </is>
      </c>
      <c r="B10" s="3" t="inlineStr">
        <is>
          <t>Miscellaneous Errors</t>
        </is>
      </c>
      <c r="C10" s="4" t="n">
        <v>0.032</v>
      </c>
      <c r="D10" s="3" t="inlineStr">
        <is>
          <t>Proportion</t>
        </is>
      </c>
      <c r="E10" s="3" t="inlineStr">
        <is>
          <t>Verizon 2026 Data Breach Investigations Report</t>
        </is>
      </c>
      <c r="F10" s="3" t="inlineStr">
        <is>
          <t>Figure 78 (Breaches by industry), p.78-79; Table 3, p.77 - calculated as (pattern breach count) / (industry total breaches). No independently stated combined top-3 % exists for this industry (no dedicated section/Table 4 entry) to cross-check against.</t>
        </is>
      </c>
    </row>
    <row r="11">
      <c r="A11" s="3" t="inlineStr">
        <is>
          <t>Accommodation</t>
        </is>
      </c>
      <c r="B11" s="3" t="inlineStr">
        <is>
          <t>Privilege Misuse</t>
        </is>
      </c>
      <c r="C11" s="4" t="n">
        <v>0</v>
      </c>
      <c r="D11" s="3" t="inlineStr">
        <is>
          <t>Proportion</t>
        </is>
      </c>
      <c r="E11" s="3" t="inlineStr">
        <is>
          <t>Verizon 2026 Data Breach Investigations Report</t>
        </is>
      </c>
      <c r="F11" s="3" t="inlineStr">
        <is>
          <t>Figure 78 (Breaches by industry), p.78-79; Table 3, p.77 - calculated as (pattern breach count) / (industry total breaches). No independently stated combined top-3 % exists for this industry (no dedicated section/Table 4 entry) to cross-check against.</t>
        </is>
      </c>
    </row>
    <row r="12">
      <c r="A12" s="3" t="inlineStr">
        <is>
          <t>Accommodation</t>
        </is>
      </c>
      <c r="B12" s="3" t="inlineStr">
        <is>
          <t>Everything Else</t>
        </is>
      </c>
      <c r="C12" s="4" t="n">
        <v>0.104</v>
      </c>
      <c r="D12" s="3" t="inlineStr">
        <is>
          <t>Proportion</t>
        </is>
      </c>
      <c r="E12" s="3" t="inlineStr">
        <is>
          <t>Verizon 2026 Data Breach Investigations Report</t>
        </is>
      </c>
      <c r="F12" s="3" t="inlineStr">
        <is>
          <t>Figure 78 (Breaches by industry), p.78-79; Table 3, p.77 - calculated as (pattern breach count) / (industry total breaches). No independently stated combined top-3 % exists for this industry (no dedicated section/Table 4 entry) to cross-check against.</t>
        </is>
      </c>
    </row>
    <row r="13">
      <c r="A13" s="3" t="inlineStr">
        <is>
          <t>Accommodation</t>
        </is>
      </c>
      <c r="B13" s="3" t="inlineStr">
        <is>
          <t>Denial of Service</t>
        </is>
      </c>
      <c r="C13" s="4" t="n">
        <v>0</v>
      </c>
      <c r="D13" s="3" t="inlineStr">
        <is>
          <t>Proportion</t>
        </is>
      </c>
      <c r="E13" s="3" t="inlineStr">
        <is>
          <t>Verizon 2026 Data Breach Investigations Report</t>
        </is>
      </c>
      <c r="F13" s="3" t="inlineStr">
        <is>
          <t>Figure 78 (Breaches by industry), p.78-79; Table 3, p.77 - calculated as (pattern breach count) / (industry total breaches). No independently stated combined top-3 % exists for this industry (no dedicated section/Table 4 entry) to cross-check against.</t>
        </is>
      </c>
    </row>
    <row r="14">
      <c r="A14" s="3" t="inlineStr">
        <is>
          <t>Accommodation</t>
        </is>
      </c>
      <c r="B14" s="3" t="inlineStr">
        <is>
          <t>Lost and Stolen Assets</t>
        </is>
      </c>
      <c r="C14" s="4" t="n">
        <v>0</v>
      </c>
      <c r="D14" s="3" t="inlineStr">
        <is>
          <t>Proportion</t>
        </is>
      </c>
      <c r="E14" s="3" t="inlineStr">
        <is>
          <t>Verizon 2026 Data Breach Investigations Report</t>
        </is>
      </c>
      <c r="F14" s="3" t="inlineStr">
        <is>
          <t>Figure 78 (Breaches by industry), p.78-79; Table 3, p.77 - calculated as (pattern breach count) / (industry total breaches). No independently stated combined top-3 % exists for this industry (no dedicated section/Table 4 entry) to cross-check against.</t>
        </is>
      </c>
    </row>
    <row r="15">
      <c r="A15" s="3" t="inlineStr">
        <is>
          <t>Administrative</t>
        </is>
      </c>
      <c r="B15" s="3" t="inlineStr">
        <is>
          <t>System Intrusion</t>
        </is>
      </c>
      <c r="C15" s="4" t="n">
        <v>0.9165</v>
      </c>
      <c r="D15" s="3" t="inlineStr">
        <is>
          <t>Proportion</t>
        </is>
      </c>
      <c r="E15" s="3" t="inlineStr">
        <is>
          <t>Verizon 2026 Data Breach Investigations Report</t>
        </is>
      </c>
      <c r="F15" s="3" t="inlineStr">
        <is>
          <t>Figure 78 (Breaches by industry), p.78-79; Table 3, p.77 - calculated as (pattern breach count) / (industry total breaches). Cross-checked against stated combined top-3 = 98%; computed sum = 104.7% (gap +6.7pt) - moderate reading uncertainty in dense matrix.</t>
        </is>
      </c>
    </row>
    <row r="16">
      <c r="A16" s="3" t="inlineStr">
        <is>
          <t>Administrative</t>
        </is>
      </c>
      <c r="B16" s="3" t="inlineStr">
        <is>
          <t>Social Engineering</t>
        </is>
      </c>
      <c r="C16" s="4" t="n">
        <v>0.0692</v>
      </c>
      <c r="D16" s="3" t="inlineStr">
        <is>
          <t>Proportion</t>
        </is>
      </c>
      <c r="E16" s="3" t="inlineStr">
        <is>
          <t>Verizon 2026 Data Breach Investigations Report</t>
        </is>
      </c>
      <c r="F16" s="3" t="inlineStr">
        <is>
          <t>Figure 78 (Breaches by industry), p.78-79; Table 3, p.77 - calculated as (pattern breach count) / (industry total breaches). Cross-checked against stated combined top-3 = 98%; computed sum = 104.7% (gap +6.7pt) - moderate reading uncertainty in dense matrix.</t>
        </is>
      </c>
    </row>
    <row r="17">
      <c r="A17" s="3" t="inlineStr">
        <is>
          <t>Administrative</t>
        </is>
      </c>
      <c r="B17" s="3" t="inlineStr">
        <is>
          <t>Basic Web Application Attacks</t>
        </is>
      </c>
      <c r="C17" s="4" t="n">
        <v>0.0621</v>
      </c>
      <c r="D17" s="3" t="inlineStr">
        <is>
          <t>Proportion</t>
        </is>
      </c>
      <c r="E17" s="3" t="inlineStr">
        <is>
          <t>Verizon 2026 Data Breach Investigations Report</t>
        </is>
      </c>
      <c r="F17" s="3" t="inlineStr">
        <is>
          <t>Figure 78 (Breaches by industry), p.78-79; Table 3, p.77 - calculated as (pattern breach count) / (industry total breaches). Cross-checked against stated combined top-3 = 98%; computed sum = 104.7% (gap +6.7pt) - moderate reading uncertainty in dense matrix.</t>
        </is>
      </c>
    </row>
    <row r="18">
      <c r="A18" s="3" t="inlineStr">
        <is>
          <t>Administrative</t>
        </is>
      </c>
      <c r="B18" s="3" t="inlineStr">
        <is>
          <t>Miscellaneous Errors</t>
        </is>
      </c>
      <c r="C18" s="4" t="n">
        <v>0.0024</v>
      </c>
      <c r="D18" s="3" t="inlineStr">
        <is>
          <t>Proportion</t>
        </is>
      </c>
      <c r="E18" s="3" t="inlineStr">
        <is>
          <t>Verizon 2026 Data Breach Investigations Report</t>
        </is>
      </c>
      <c r="F18" s="3" t="inlineStr">
        <is>
          <t>Figure 78 (Breaches by industry), p.78-79; Table 3, p.77 - calculated as (pattern breach count) / (industry total breaches). Cross-checked against stated combined top-3 = 98%; computed sum = 104.7% (gap +6.7pt) - moderate reading uncertainty in dense matrix.</t>
        </is>
      </c>
    </row>
    <row r="19">
      <c r="A19" s="3" t="inlineStr">
        <is>
          <t>Administrative</t>
        </is>
      </c>
      <c r="B19" s="3" t="inlineStr">
        <is>
          <t>Privilege Misuse</t>
        </is>
      </c>
      <c r="C19" s="4" t="n">
        <v>0.0095</v>
      </c>
      <c r="D19" s="3" t="inlineStr">
        <is>
          <t>Proportion</t>
        </is>
      </c>
      <c r="E19" s="3" t="inlineStr">
        <is>
          <t>Verizon 2026 Data Breach Investigations Report</t>
        </is>
      </c>
      <c r="F19" s="3" t="inlineStr">
        <is>
          <t>Figure 78 (Breaches by industry), p.78-79; Table 3, p.77 - calculated as (pattern breach count) / (industry total breaches). Cross-checked against stated combined top-3 = 98%; computed sum = 104.7% (gap +6.7pt) - moderate reading uncertainty in dense matrix.</t>
        </is>
      </c>
    </row>
    <row r="20">
      <c r="A20" s="3" t="inlineStr">
        <is>
          <t>Administrative</t>
        </is>
      </c>
      <c r="B20" s="3" t="inlineStr">
        <is>
          <t>Everything Else</t>
        </is>
      </c>
      <c r="C20" s="4" t="n">
        <v>0.0095</v>
      </c>
      <c r="D20" s="3" t="inlineStr">
        <is>
          <t>Proportion</t>
        </is>
      </c>
      <c r="E20" s="3" t="inlineStr">
        <is>
          <t>Verizon 2026 Data Breach Investigations Report</t>
        </is>
      </c>
      <c r="F20" s="3" t="inlineStr">
        <is>
          <t>Figure 78 (Breaches by industry), p.78-79; Table 3, p.77 - calculated as (pattern breach count) / (industry total breaches). Cross-checked against stated combined top-3 = 98%; computed sum = 104.7% (gap +6.7pt) - moderate reading uncertainty in dense matrix.</t>
        </is>
      </c>
    </row>
    <row r="21">
      <c r="A21" s="3" t="inlineStr">
        <is>
          <t>Administrative</t>
        </is>
      </c>
      <c r="B21" s="3" t="inlineStr">
        <is>
          <t>Denial of Service</t>
        </is>
      </c>
      <c r="C21" s="4" t="n">
        <v>0</v>
      </c>
      <c r="D21" s="3" t="inlineStr">
        <is>
          <t>Proportion</t>
        </is>
      </c>
      <c r="E21" s="3" t="inlineStr">
        <is>
          <t>Verizon 2026 Data Breach Investigations Report</t>
        </is>
      </c>
      <c r="F21" s="3" t="inlineStr">
        <is>
          <t>Figure 78 (Breaches by industry), p.78-79; Table 3, p.77 - calculated as (pattern breach count) / (industry total breaches). Cross-checked against stated combined top-3 = 98%; computed sum = 104.7% (gap +6.7pt) - moderate reading uncertainty in dense matrix.</t>
        </is>
      </c>
    </row>
    <row r="22">
      <c r="A22" s="3" t="inlineStr">
        <is>
          <t>Administrative</t>
        </is>
      </c>
      <c r="B22" s="3" t="inlineStr">
        <is>
          <t>Lost and Stolen Assets</t>
        </is>
      </c>
      <c r="C22" s="4" t="n">
        <v>0</v>
      </c>
      <c r="D22" s="3" t="inlineStr">
        <is>
          <t>Proportion</t>
        </is>
      </c>
      <c r="E22" s="3" t="inlineStr">
        <is>
          <t>Verizon 2026 Data Breach Investigations Report</t>
        </is>
      </c>
      <c r="F22" s="3" t="inlineStr">
        <is>
          <t>Figure 78 (Breaches by industry), p.78-79; Table 3, p.77 - calculated as (pattern breach count) / (industry total breaches). Cross-checked against stated combined top-3 = 98%; computed sum = 104.7% (gap +6.7pt) - moderate reading uncertainty in dense matrix.</t>
        </is>
      </c>
    </row>
    <row r="23">
      <c r="A23" s="3" t="inlineStr">
        <is>
          <t>Construction</t>
        </is>
      </c>
      <c r="B23" s="3" t="inlineStr">
        <is>
          <t>System Intrusion</t>
        </is>
      </c>
      <c r="C23" s="4" t="n">
        <v>0.8056</v>
      </c>
      <c r="D23" s="3" t="inlineStr">
        <is>
          <t>Proportion</t>
        </is>
      </c>
      <c r="E23" s="3" t="inlineStr">
        <is>
          <t>Verizon 2026 Data Breach Investigations Report</t>
        </is>
      </c>
      <c r="F23" s="3" t="inlineStr">
        <is>
          <t>Figure 78 (Breaches by industry), p.78-79; Table 3, p.77 - calculated as (pattern breach count) / (industry total breaches). Cross-checked against stated combined top-3 = 95%; computed sum = 97.4% (gap +2.4pt) - good match.</t>
        </is>
      </c>
    </row>
    <row r="24">
      <c r="A24" s="3" t="inlineStr">
        <is>
          <t>Construction</t>
        </is>
      </c>
      <c r="B24" s="3" t="inlineStr">
        <is>
          <t>Social Engineering</t>
        </is>
      </c>
      <c r="C24" s="4" t="n">
        <v>0.1147</v>
      </c>
      <c r="D24" s="3" t="inlineStr">
        <is>
          <t>Proportion</t>
        </is>
      </c>
      <c r="E24" s="3" t="inlineStr">
        <is>
          <t>Verizon 2026 Data Breach Investigations Report</t>
        </is>
      </c>
      <c r="F24" s="3" t="inlineStr">
        <is>
          <t>Figure 78 (Breaches by industry), p.78-79; Table 3, p.77 - calculated as (pattern breach count) / (industry total breaches). Cross-checked against stated combined top-3 = 95%; computed sum = 97.4% (gap +2.4pt) - good match.</t>
        </is>
      </c>
    </row>
    <row r="25">
      <c r="A25" s="3" t="inlineStr">
        <is>
          <t>Construction</t>
        </is>
      </c>
      <c r="B25" s="3" t="inlineStr">
        <is>
          <t>Basic Web Application Attacks</t>
        </is>
      </c>
      <c r="C25" s="4" t="n">
        <v>0.0531</v>
      </c>
      <c r="D25" s="3" t="inlineStr">
        <is>
          <t>Proportion</t>
        </is>
      </c>
      <c r="E25" s="3" t="inlineStr">
        <is>
          <t>Verizon 2026 Data Breach Investigations Report</t>
        </is>
      </c>
      <c r="F25" s="3" t="inlineStr">
        <is>
          <t>Figure 78 (Breaches by industry), p.78-79; Table 3, p.77 - calculated as (pattern breach count) / (industry total breaches). Cross-checked against stated combined top-3 = 95%; computed sum = 97.4% (gap +2.4pt) - good match.</t>
        </is>
      </c>
    </row>
    <row r="26">
      <c r="A26" s="3" t="inlineStr">
        <is>
          <t>Construction</t>
        </is>
      </c>
      <c r="B26" s="3" t="inlineStr">
        <is>
          <t>Miscellaneous Errors</t>
        </is>
      </c>
      <c r="C26" s="4" t="n">
        <v>0.0024</v>
      </c>
      <c r="D26" s="3" t="inlineStr">
        <is>
          <t>Proportion</t>
        </is>
      </c>
      <c r="E26" s="3" t="inlineStr">
        <is>
          <t>Verizon 2026 Data Breach Investigations Report</t>
        </is>
      </c>
      <c r="F26" s="3" t="inlineStr">
        <is>
          <t>Figure 78 (Breaches by industry), p.78-79; Table 3, p.77 - calculated as (pattern breach count) / (industry total breaches). Cross-checked against stated combined top-3 = 95%; computed sum = 97.4% (gap +2.4pt) - good match.</t>
        </is>
      </c>
    </row>
    <row r="27">
      <c r="A27" s="3" t="inlineStr">
        <is>
          <t>Construction</t>
        </is>
      </c>
      <c r="B27" s="3" t="inlineStr">
        <is>
          <t>Privilege Misuse</t>
        </is>
      </c>
      <c r="C27" s="4" t="n">
        <v>0.008500000000000001</v>
      </c>
      <c r="D27" s="3" t="inlineStr">
        <is>
          <t>Proportion</t>
        </is>
      </c>
      <c r="E27" s="3" t="inlineStr">
        <is>
          <t>Verizon 2026 Data Breach Investigations Report</t>
        </is>
      </c>
      <c r="F27" s="3" t="inlineStr">
        <is>
          <t>Figure 78 (Breaches by industry), p.78-79; Table 3, p.77 - calculated as (pattern breach count) / (industry total breaches). Cross-checked against stated combined top-3 = 95%; computed sum = 97.4% (gap +2.4pt) - good match.</t>
        </is>
      </c>
    </row>
    <row r="28">
      <c r="A28" s="3" t="inlineStr">
        <is>
          <t>Construction</t>
        </is>
      </c>
      <c r="B28" s="3" t="inlineStr">
        <is>
          <t>Everything Else</t>
        </is>
      </c>
      <c r="C28" s="4" t="n">
        <v>0.0362</v>
      </c>
      <c r="D28" s="3" t="inlineStr">
        <is>
          <t>Proportion</t>
        </is>
      </c>
      <c r="E28" s="3" t="inlineStr">
        <is>
          <t>Verizon 2026 Data Breach Investigations Report</t>
        </is>
      </c>
      <c r="F28" s="3" t="inlineStr">
        <is>
          <t>Figure 78 (Breaches by industry), p.78-79; Table 3, p.77 - calculated as (pattern breach count) / (industry total breaches). Cross-checked against stated combined top-3 = 95%; computed sum = 97.4% (gap +2.4pt) - good match.</t>
        </is>
      </c>
    </row>
    <row r="29">
      <c r="A29" s="3" t="inlineStr">
        <is>
          <t>Construction</t>
        </is>
      </c>
      <c r="B29" s="3" t="inlineStr">
        <is>
          <t>Denial of Service</t>
        </is>
      </c>
      <c r="C29" s="4" t="n">
        <v>0</v>
      </c>
      <c r="D29" s="3" t="inlineStr">
        <is>
          <t>Proportion</t>
        </is>
      </c>
      <c r="E29" s="3" t="inlineStr">
        <is>
          <t>Verizon 2026 Data Breach Investigations Report</t>
        </is>
      </c>
      <c r="F29" s="3" t="inlineStr">
        <is>
          <t>Figure 78 (Breaches by industry), p.78-79; Table 3, p.77 - calculated as (pattern breach count) / (industry total breaches). Cross-checked against stated combined top-3 = 95%; computed sum = 97.4% (gap +2.4pt) - good match.</t>
        </is>
      </c>
    </row>
    <row r="30">
      <c r="A30" s="3" t="inlineStr">
        <is>
          <t>Construction</t>
        </is>
      </c>
      <c r="B30" s="3" t="inlineStr">
        <is>
          <t>Lost and Stolen Assets</t>
        </is>
      </c>
      <c r="C30" s="4" t="n">
        <v>0.0012</v>
      </c>
      <c r="D30" s="3" t="inlineStr">
        <is>
          <t>Proportion</t>
        </is>
      </c>
      <c r="E30" s="3" t="inlineStr">
        <is>
          <t>Verizon 2026 Data Breach Investigations Report</t>
        </is>
      </c>
      <c r="F30" s="3" t="inlineStr">
        <is>
          <t>Figure 78 (Breaches by industry), p.78-79; Table 3, p.77 - calculated as (pattern breach count) / (industry total breaches). Cross-checked against stated combined top-3 = 95%; computed sum = 97.4% (gap +2.4pt) - good match.</t>
        </is>
      </c>
    </row>
    <row r="31">
      <c r="A31" s="3" t="inlineStr">
        <is>
          <t>Education</t>
        </is>
      </c>
      <c r="B31" s="3" t="inlineStr">
        <is>
          <t>System Intrusion</t>
        </is>
      </c>
      <c r="C31" s="4" t="n">
        <v>0.52</v>
      </c>
      <c r="D31" s="3" t="inlineStr">
        <is>
          <t>Proportion</t>
        </is>
      </c>
      <c r="E31" s="3" t="inlineStr">
        <is>
          <t>Verizon 2026 Data Breach Investigations Report</t>
        </is>
      </c>
      <c r="F31"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2">
      <c r="A32" s="3" t="inlineStr">
        <is>
          <t>Education</t>
        </is>
      </c>
      <c r="B32" s="3" t="inlineStr">
        <is>
          <t>Social Engineering</t>
        </is>
      </c>
      <c r="C32" s="4" t="n">
        <v>0.1677</v>
      </c>
      <c r="D32" s="3" t="inlineStr">
        <is>
          <t>Proportion</t>
        </is>
      </c>
      <c r="E32" s="3" t="inlineStr">
        <is>
          <t>Verizon 2026 Data Breach Investigations Report</t>
        </is>
      </c>
      <c r="F32"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3">
      <c r="A33" s="3" t="inlineStr">
        <is>
          <t>Education</t>
        </is>
      </c>
      <c r="B33" s="3" t="inlineStr">
        <is>
          <t>Basic Web Application Attacks</t>
        </is>
      </c>
      <c r="C33" s="4" t="n">
        <v>0.1038</v>
      </c>
      <c r="D33" s="3" t="inlineStr">
        <is>
          <t>Proportion</t>
        </is>
      </c>
      <c r="E33" s="3" t="inlineStr">
        <is>
          <t>Verizon 2026 Data Breach Investigations Report</t>
        </is>
      </c>
      <c r="F33"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4">
      <c r="A34" s="3" t="inlineStr">
        <is>
          <t>Education</t>
        </is>
      </c>
      <c r="B34" s="3" t="inlineStr">
        <is>
          <t>Miscellaneous Errors</t>
        </is>
      </c>
      <c r="C34" s="4" t="n">
        <v>0.1573</v>
      </c>
      <c r="D34" s="3" t="inlineStr">
        <is>
          <t>Proportion</t>
        </is>
      </c>
      <c r="E34" s="3" t="inlineStr">
        <is>
          <t>Verizon 2026 Data Breach Investigations Report</t>
        </is>
      </c>
      <c r="F34"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5">
      <c r="A35" s="3" t="inlineStr">
        <is>
          <t>Education</t>
        </is>
      </c>
      <c r="B35" s="3" t="inlineStr">
        <is>
          <t>Privilege Misuse</t>
        </is>
      </c>
      <c r="C35" s="4" t="n">
        <v>0.0439</v>
      </c>
      <c r="D35" s="3" t="inlineStr">
        <is>
          <t>Proportion</t>
        </is>
      </c>
      <c r="E35" s="3" t="inlineStr">
        <is>
          <t>Verizon 2026 Data Breach Investigations Report</t>
        </is>
      </c>
      <c r="F35"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6">
      <c r="A36" s="3" t="inlineStr">
        <is>
          <t>Education</t>
        </is>
      </c>
      <c r="B36" s="3" t="inlineStr">
        <is>
          <t>Everything Else</t>
        </is>
      </c>
      <c r="C36" s="4" t="n">
        <v>0.0615</v>
      </c>
      <c r="D36" s="3" t="inlineStr">
        <is>
          <t>Proportion</t>
        </is>
      </c>
      <c r="E36" s="3" t="inlineStr">
        <is>
          <t>Verizon 2026 Data Breach Investigations Report</t>
        </is>
      </c>
      <c r="F36"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7">
      <c r="A37" s="3" t="inlineStr">
        <is>
          <t>Education</t>
        </is>
      </c>
      <c r="B37" s="3" t="inlineStr">
        <is>
          <t>Denial of Service</t>
        </is>
      </c>
      <c r="C37" s="4" t="n">
        <v>0</v>
      </c>
      <c r="D37" s="3" t="inlineStr">
        <is>
          <t>Proportion</t>
        </is>
      </c>
      <c r="E37" s="3" t="inlineStr">
        <is>
          <t>Verizon 2026 Data Breach Investigations Report</t>
        </is>
      </c>
      <c r="F37"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8">
      <c r="A38" s="3" t="inlineStr">
        <is>
          <t>Education</t>
        </is>
      </c>
      <c r="B38" s="3" t="inlineStr">
        <is>
          <t>Lost and Stolen Assets</t>
        </is>
      </c>
      <c r="C38" s="4" t="n">
        <v>0.0144</v>
      </c>
      <c r="D38" s="3" t="inlineStr">
        <is>
          <t>Proportion</t>
        </is>
      </c>
      <c r="E38" s="3" t="inlineStr">
        <is>
          <t>Verizon 2026 Data Breach Investigations Report</t>
        </is>
      </c>
      <c r="F38" s="3" t="inlineStr">
        <is>
          <t>Figure 78 (Breaches by industry), p.78-79; Table 3, p.77 - calculated as (pattern breach count) / (industry total breaches). Cross-checked against stated combined top-3 = 83%; computed sum = 84.5% (gap +1.5pt) - good match; individual values also match body text exactly (52%/17%/16%).</t>
        </is>
      </c>
    </row>
    <row r="39">
      <c r="A39" s="3" t="inlineStr">
        <is>
          <t>Entertainment</t>
        </is>
      </c>
      <c r="B39" s="3" t="inlineStr">
        <is>
          <t>System Intrusion</t>
        </is>
      </c>
      <c r="C39" s="4" t="n">
        <v>0.4306</v>
      </c>
      <c r="D39" s="3" t="inlineStr">
        <is>
          <t>Proportion</t>
        </is>
      </c>
      <c r="E39" s="3" t="inlineStr">
        <is>
          <t>Verizon 2026 Data Breach Investigations Report</t>
        </is>
      </c>
      <c r="F39" s="3" t="inlineStr">
        <is>
          <t>Figure 78 (Breaches by industry), p.78-79; Table 3, p.77 - calculated as (pattern breach count) / (industry total breaches). Cross-checked against stated combined top-3 = 82%; computed sum = 84.9% (gap +2.9pt) - good match.</t>
        </is>
      </c>
    </row>
    <row r="40">
      <c r="A40" s="3" t="inlineStr">
        <is>
          <t>Entertainment</t>
        </is>
      </c>
      <c r="B40" s="3" t="inlineStr">
        <is>
          <t>Social Engineering</t>
        </is>
      </c>
      <c r="C40" s="4" t="n">
        <v>0.3043</v>
      </c>
      <c r="D40" s="3" t="inlineStr">
        <is>
          <t>Proportion</t>
        </is>
      </c>
      <c r="E40" s="3" t="inlineStr">
        <is>
          <t>Verizon 2026 Data Breach Investigations Report</t>
        </is>
      </c>
      <c r="F40" s="3" t="inlineStr">
        <is>
          <t>Figure 78 (Breaches by industry), p.78-79; Table 3, p.77 - calculated as (pattern breach count) / (industry total breaches). Cross-checked against stated combined top-3 = 82%; computed sum = 84.9% (gap +2.9pt) - good match.</t>
        </is>
      </c>
    </row>
    <row r="41">
      <c r="A41" s="3" t="inlineStr">
        <is>
          <t>Entertainment</t>
        </is>
      </c>
      <c r="B41" s="3" t="inlineStr">
        <is>
          <t>Basic Web Application Attacks</t>
        </is>
      </c>
      <c r="C41" s="4" t="n">
        <v>0.0455</v>
      </c>
      <c r="D41" s="3" t="inlineStr">
        <is>
          <t>Proportion</t>
        </is>
      </c>
      <c r="E41" s="3" t="inlineStr">
        <is>
          <t>Verizon 2026 Data Breach Investigations Report</t>
        </is>
      </c>
      <c r="F41" s="3" t="inlineStr">
        <is>
          <t>Figure 78 (Breaches by industry), p.78-79; Table 3, p.77 - calculated as (pattern breach count) / (industry total breaches). Cross-checked against stated combined top-3 = 82%; computed sum = 84.9% (gap +2.9pt) - good match.</t>
        </is>
      </c>
    </row>
    <row r="42">
      <c r="A42" s="3" t="inlineStr">
        <is>
          <t>Entertainment</t>
        </is>
      </c>
      <c r="B42" s="3" t="inlineStr">
        <is>
          <t>Miscellaneous Errors</t>
        </is>
      </c>
      <c r="C42" s="4" t="n">
        <v>0.1035</v>
      </c>
      <c r="D42" s="3" t="inlineStr">
        <is>
          <t>Proportion</t>
        </is>
      </c>
      <c r="E42" s="3" t="inlineStr">
        <is>
          <t>Verizon 2026 Data Breach Investigations Report</t>
        </is>
      </c>
      <c r="F42" s="3" t="inlineStr">
        <is>
          <t>Figure 78 (Breaches by industry), p.78-79; Table 3, p.77 - calculated as (pattern breach count) / (industry total breaches). Cross-checked against stated combined top-3 = 82%; computed sum = 84.9% (gap +2.9pt) - good match.</t>
        </is>
      </c>
    </row>
    <row r="43">
      <c r="A43" s="3" t="inlineStr">
        <is>
          <t>Entertainment</t>
        </is>
      </c>
      <c r="B43" s="3" t="inlineStr">
        <is>
          <t>Privilege Misuse</t>
        </is>
      </c>
      <c r="C43" s="4" t="n">
        <v>0.0311</v>
      </c>
      <c r="D43" s="3" t="inlineStr">
        <is>
          <t>Proportion</t>
        </is>
      </c>
      <c r="E43" s="3" t="inlineStr">
        <is>
          <t>Verizon 2026 Data Breach Investigations Report</t>
        </is>
      </c>
      <c r="F43" s="3" t="inlineStr">
        <is>
          <t>Figure 78 (Breaches by industry), p.78-79; Table 3, p.77 - calculated as (pattern breach count) / (industry total breaches). Cross-checked against stated combined top-3 = 82%; computed sum = 84.9% (gap +2.9pt) - good match.</t>
        </is>
      </c>
    </row>
    <row r="44">
      <c r="A44" s="3" t="inlineStr">
        <is>
          <t>Entertainment</t>
        </is>
      </c>
      <c r="B44" s="3" t="inlineStr">
        <is>
          <t>Everything Else</t>
        </is>
      </c>
      <c r="C44" s="4" t="n">
        <v>0.1139</v>
      </c>
      <c r="D44" s="3" t="inlineStr">
        <is>
          <t>Proportion</t>
        </is>
      </c>
      <c r="E44" s="3" t="inlineStr">
        <is>
          <t>Verizon 2026 Data Breach Investigations Report</t>
        </is>
      </c>
      <c r="F44" s="3" t="inlineStr">
        <is>
          <t>Figure 78 (Breaches by industry), p.78-79; Table 3, p.77 - calculated as (pattern breach count) / (industry total breaches). Cross-checked against stated combined top-3 = 82%; computed sum = 84.9% (gap +2.9pt) - good match.</t>
        </is>
      </c>
    </row>
    <row r="45">
      <c r="A45" s="3" t="inlineStr">
        <is>
          <t>Entertainment</t>
        </is>
      </c>
      <c r="B45" s="3" t="inlineStr">
        <is>
          <t>Denial of Service</t>
        </is>
      </c>
      <c r="C45" s="4" t="n">
        <v>0</v>
      </c>
      <c r="D45" s="3" t="inlineStr">
        <is>
          <t>Proportion</t>
        </is>
      </c>
      <c r="E45" s="3" t="inlineStr">
        <is>
          <t>Verizon 2026 Data Breach Investigations Report</t>
        </is>
      </c>
      <c r="F45" s="3" t="inlineStr">
        <is>
          <t>Figure 78 (Breaches by industry), p.78-79; Table 3, p.77 - calculated as (pattern breach count) / (industry total breaches). Cross-checked against stated combined top-3 = 82%; computed sum = 84.9% (gap +2.9pt) - good match.</t>
        </is>
      </c>
    </row>
    <row r="46">
      <c r="A46" s="3" t="inlineStr">
        <is>
          <t>Entertainment</t>
        </is>
      </c>
      <c r="B46" s="3" t="inlineStr">
        <is>
          <t>Lost and Stolen Assets</t>
        </is>
      </c>
      <c r="C46" s="4" t="n">
        <v>0.0062</v>
      </c>
      <c r="D46" s="3" t="inlineStr">
        <is>
          <t>Proportion</t>
        </is>
      </c>
      <c r="E46" s="3" t="inlineStr">
        <is>
          <t>Verizon 2026 Data Breach Investigations Report</t>
        </is>
      </c>
      <c r="F46" s="3" t="inlineStr">
        <is>
          <t>Figure 78 (Breaches by industry), p.78-79; Table 3, p.77 - calculated as (pattern breach count) / (industry total breaches). Cross-checked against stated combined top-3 = 82%; computed sum = 84.9% (gap +2.9pt) - good match.</t>
        </is>
      </c>
    </row>
    <row r="47">
      <c r="A47" s="3" t="inlineStr">
        <is>
          <t>Finance</t>
        </is>
      </c>
      <c r="B47" s="3" t="inlineStr">
        <is>
          <t>System Intrusion</t>
        </is>
      </c>
      <c r="C47" s="4" t="n">
        <v>0.4954</v>
      </c>
      <c r="D47" s="3" t="inlineStr">
        <is>
          <t>Proportion</t>
        </is>
      </c>
      <c r="E47" s="3" t="inlineStr">
        <is>
          <t>Verizon 2026 Data Breach Investigations Report</t>
        </is>
      </c>
      <c r="F47" s="3" t="inlineStr">
        <is>
          <t>Figure 78 (Breaches by industry), p.78-79; Table 3, p.77 - calculated as (pattern breach count) / (industry total breaches). Cross-checked against stated combined top-3 = 81%; computed sum = 81.5% (gap +0.5pt) - excellent match.</t>
        </is>
      </c>
    </row>
    <row r="48">
      <c r="A48" s="3" t="inlineStr">
        <is>
          <t>Finance</t>
        </is>
      </c>
      <c r="B48" s="3" t="inlineStr">
        <is>
          <t>Social Engineering</t>
        </is>
      </c>
      <c r="C48" s="4" t="n">
        <v>0.2146</v>
      </c>
      <c r="D48" s="3" t="inlineStr">
        <is>
          <t>Proportion</t>
        </is>
      </c>
      <c r="E48" s="3" t="inlineStr">
        <is>
          <t>Verizon 2026 Data Breach Investigations Report</t>
        </is>
      </c>
      <c r="F48" s="3" t="inlineStr">
        <is>
          <t>Figure 78 (Breaches by industry), p.78-79; Table 3, p.77 - calculated as (pattern breach count) / (industry total breaches). Cross-checked against stated combined top-3 = 81%; computed sum = 81.5% (gap +0.5pt) - excellent match.</t>
        </is>
      </c>
    </row>
    <row r="49">
      <c r="A49" s="3" t="inlineStr">
        <is>
          <t>Finance</t>
        </is>
      </c>
      <c r="B49" s="3" t="inlineStr">
        <is>
          <t>Basic Web Application Attacks</t>
        </is>
      </c>
      <c r="C49" s="4" t="n">
        <v>0.0808</v>
      </c>
      <c r="D49" s="3" t="inlineStr">
        <is>
          <t>Proportion</t>
        </is>
      </c>
      <c r="E49" s="3" t="inlineStr">
        <is>
          <t>Verizon 2026 Data Breach Investigations Report</t>
        </is>
      </c>
      <c r="F49" s="3" t="inlineStr">
        <is>
          <t>Figure 78 (Breaches by industry), p.78-79; Table 3, p.77 - calculated as (pattern breach count) / (industry total breaches). Cross-checked against stated combined top-3 = 81%; computed sum = 81.5% (gap +0.5pt) - excellent match.</t>
        </is>
      </c>
    </row>
    <row r="50">
      <c r="A50" s="3" t="inlineStr">
        <is>
          <t>Finance</t>
        </is>
      </c>
      <c r="B50" s="3" t="inlineStr">
        <is>
          <t>Miscellaneous Errors</t>
        </is>
      </c>
      <c r="C50" s="4" t="n">
        <v>0.08309999999999999</v>
      </c>
      <c r="D50" s="3" t="inlineStr">
        <is>
          <t>Proportion</t>
        </is>
      </c>
      <c r="E50" s="3" t="inlineStr">
        <is>
          <t>Verizon 2026 Data Breach Investigations Report</t>
        </is>
      </c>
      <c r="F50" s="3" t="inlineStr">
        <is>
          <t>Figure 78 (Breaches by industry), p.78-79; Table 3, p.77 - calculated as (pattern breach count) / (industry total breaches). Cross-checked against stated combined top-3 = 81%; computed sum = 81.5% (gap +0.5pt) - excellent match.</t>
        </is>
      </c>
    </row>
    <row r="51">
      <c r="A51" s="3" t="inlineStr">
        <is>
          <t>Finance</t>
        </is>
      </c>
      <c r="B51" s="3" t="inlineStr">
        <is>
          <t>Privilege Misuse</t>
        </is>
      </c>
      <c r="C51" s="4" t="n">
        <v>0.0315</v>
      </c>
      <c r="D51" s="3" t="inlineStr">
        <is>
          <t>Proportion</t>
        </is>
      </c>
      <c r="E51" s="3" t="inlineStr">
        <is>
          <t>Verizon 2026 Data Breach Investigations Report</t>
        </is>
      </c>
      <c r="F51" s="3" t="inlineStr">
        <is>
          <t>Figure 78 (Breaches by industry), p.78-79; Table 3, p.77 - calculated as (pattern breach count) / (industry total breaches). Cross-checked against stated combined top-3 = 81%; computed sum = 81.5% (gap +0.5pt) - excellent match.</t>
        </is>
      </c>
    </row>
    <row r="52">
      <c r="A52" s="3" t="inlineStr">
        <is>
          <t>Finance</t>
        </is>
      </c>
      <c r="B52" s="3" t="inlineStr">
        <is>
          <t>Everything Else</t>
        </is>
      </c>
      <c r="C52" s="4" t="n">
        <v>0.1054</v>
      </c>
      <c r="D52" s="3" t="inlineStr">
        <is>
          <t>Proportion</t>
        </is>
      </c>
      <c r="E52" s="3" t="inlineStr">
        <is>
          <t>Verizon 2026 Data Breach Investigations Report</t>
        </is>
      </c>
      <c r="F52" s="3" t="inlineStr">
        <is>
          <t>Figure 78 (Breaches by industry), p.78-79; Table 3, p.77 - calculated as (pattern breach count) / (industry total breaches). Cross-checked against stated combined top-3 = 81%; computed sum = 81.5% (gap +0.5pt) - excellent match.</t>
        </is>
      </c>
    </row>
    <row r="53">
      <c r="A53" s="3" t="inlineStr">
        <is>
          <t>Finance</t>
        </is>
      </c>
      <c r="B53" s="3" t="inlineStr">
        <is>
          <t>Denial of Service</t>
        </is>
      </c>
      <c r="C53" s="4" t="n">
        <v>0</v>
      </c>
      <c r="D53" s="3" t="inlineStr">
        <is>
          <t>Proportion</t>
        </is>
      </c>
      <c r="E53" s="3" t="inlineStr">
        <is>
          <t>Verizon 2026 Data Breach Investigations Report</t>
        </is>
      </c>
      <c r="F53" s="3" t="inlineStr">
        <is>
          <t>Figure 78 (Breaches by industry), p.78-79; Table 3, p.77 - calculated as (pattern breach count) / (industry total breaches). Cross-checked against stated combined top-3 = 81%; computed sum = 81.5% (gap +0.5pt) - excellent match.</t>
        </is>
      </c>
    </row>
    <row r="54">
      <c r="A54" s="3" t="inlineStr">
        <is>
          <t>Finance</t>
        </is>
      </c>
      <c r="B54" s="3" t="inlineStr">
        <is>
          <t>Lost and Stolen Assets</t>
        </is>
      </c>
      <c r="C54" s="4" t="n">
        <v>0.0031</v>
      </c>
      <c r="D54" s="3" t="inlineStr">
        <is>
          <t>Proportion</t>
        </is>
      </c>
      <c r="E54" s="3" t="inlineStr">
        <is>
          <t>Verizon 2026 Data Breach Investigations Report</t>
        </is>
      </c>
      <c r="F54" s="3" t="inlineStr">
        <is>
          <t>Figure 78 (Breaches by industry), p.78-79; Table 3, p.77 - calculated as (pattern breach count) / (industry total breaches). Cross-checked against stated combined top-3 = 81%; computed sum = 81.5% (gap +0.5pt) - excellent match.</t>
        </is>
      </c>
    </row>
    <row r="55">
      <c r="A55" s="3" t="inlineStr">
        <is>
          <t>Healthcare</t>
        </is>
      </c>
      <c r="B55" s="3" t="inlineStr">
        <is>
          <t>System Intrusion</t>
        </is>
      </c>
      <c r="C55" s="4" t="n">
        <v>0.5639999999999999</v>
      </c>
      <c r="D55" s="3" t="inlineStr">
        <is>
          <t>Proportion</t>
        </is>
      </c>
      <c r="E55" s="3" t="inlineStr">
        <is>
          <t>Verizon 2026 Data Breach Investigations Report</t>
        </is>
      </c>
      <c r="F55" s="3" t="inlineStr">
        <is>
          <t>Figure 78 (Breaches by industry), p.78-79; Table 3, p.77 - calculated as (pattern breach count) / (industry total breaches). Cross-checked against stated combined top-3 = 81%; computed sum = 81.6% (gap +0.6pt) - excellent match.</t>
        </is>
      </c>
    </row>
    <row r="56">
      <c r="A56" s="3" t="inlineStr">
        <is>
          <t>Healthcare</t>
        </is>
      </c>
      <c r="B56" s="3" t="inlineStr">
        <is>
          <t>Social Engineering</t>
        </is>
      </c>
      <c r="C56" s="4" t="n">
        <v>0.1238</v>
      </c>
      <c r="D56" s="3" t="inlineStr">
        <is>
          <t>Proportion</t>
        </is>
      </c>
      <c r="E56" s="3" t="inlineStr">
        <is>
          <t>Verizon 2026 Data Breach Investigations Report</t>
        </is>
      </c>
      <c r="F56" s="3" t="inlineStr">
        <is>
          <t>Figure 78 (Breaches by industry), p.78-79; Table 3, p.77 - calculated as (pattern breach count) / (industry total breaches). Cross-checked against stated combined top-3 = 81%; computed sum = 81.6% (gap +0.6pt) - excellent match.</t>
        </is>
      </c>
    </row>
    <row r="57">
      <c r="A57" s="3" t="inlineStr">
        <is>
          <t>Healthcare</t>
        </is>
      </c>
      <c r="B57" s="3" t="inlineStr">
        <is>
          <t>Basic Web Application Attacks</t>
        </is>
      </c>
      <c r="C57" s="4" t="n">
        <v>0.0494</v>
      </c>
      <c r="D57" s="3" t="inlineStr">
        <is>
          <t>Proportion</t>
        </is>
      </c>
      <c r="E57" s="3" t="inlineStr">
        <is>
          <t>Verizon 2026 Data Breach Investigations Report</t>
        </is>
      </c>
      <c r="F57" s="3" t="inlineStr">
        <is>
          <t>Figure 78 (Breaches by industry), p.78-79; Table 3, p.77 - calculated as (pattern breach count) / (industry total breaches). Cross-checked against stated combined top-3 = 81%; computed sum = 81.6% (gap +0.6pt) - excellent match.</t>
        </is>
      </c>
    </row>
    <row r="58">
      <c r="A58" s="3" t="inlineStr">
        <is>
          <t>Healthcare</t>
        </is>
      </c>
      <c r="B58" s="3" t="inlineStr">
        <is>
          <t>Miscellaneous Errors</t>
        </is>
      </c>
      <c r="C58" s="4" t="n">
        <v>0.128</v>
      </c>
      <c r="D58" s="3" t="inlineStr">
        <is>
          <t>Proportion</t>
        </is>
      </c>
      <c r="E58" s="3" t="inlineStr">
        <is>
          <t>Verizon 2026 Data Breach Investigations Report</t>
        </is>
      </c>
      <c r="F58" s="3" t="inlineStr">
        <is>
          <t>Figure 78 (Breaches by industry), p.78-79; Table 3, p.77 - calculated as (pattern breach count) / (industry total breaches). Cross-checked against stated combined top-3 = 81%; computed sum = 81.6% (gap +0.6pt) - excellent match.</t>
        </is>
      </c>
    </row>
    <row r="59">
      <c r="A59" s="3" t="inlineStr">
        <is>
          <t>Healthcare</t>
        </is>
      </c>
      <c r="B59" s="3" t="inlineStr">
        <is>
          <t>Privilege Misuse</t>
        </is>
      </c>
      <c r="C59" s="4" t="n">
        <v>0.0584</v>
      </c>
      <c r="D59" s="3" t="inlineStr">
        <is>
          <t>Proportion</t>
        </is>
      </c>
      <c r="E59" s="3" t="inlineStr">
        <is>
          <t>Verizon 2026 Data Breach Investigations Report</t>
        </is>
      </c>
      <c r="F59" s="3" t="inlineStr">
        <is>
          <t>Figure 78 (Breaches by industry), p.78-79; Table 3, p.77 - calculated as (pattern breach count) / (industry total breaches). Cross-checked against stated combined top-3 = 81%; computed sum = 81.6% (gap +0.6pt) - excellent match.</t>
        </is>
      </c>
    </row>
    <row r="60">
      <c r="A60" s="3" t="inlineStr">
        <is>
          <t>Healthcare</t>
        </is>
      </c>
      <c r="B60" s="3" t="inlineStr">
        <is>
          <t>Everything Else</t>
        </is>
      </c>
      <c r="C60" s="4" t="n">
        <v>0.0848</v>
      </c>
      <c r="D60" s="3" t="inlineStr">
        <is>
          <t>Proportion</t>
        </is>
      </c>
      <c r="E60" s="3" t="inlineStr">
        <is>
          <t>Verizon 2026 Data Breach Investigations Report</t>
        </is>
      </c>
      <c r="F60" s="3" t="inlineStr">
        <is>
          <t>Figure 78 (Breaches by industry), p.78-79; Table 3, p.77 - calculated as (pattern breach count) / (industry total breaches). Cross-checked against stated combined top-3 = 81%; computed sum = 81.6% (gap +0.6pt) - excellent match.</t>
        </is>
      </c>
    </row>
    <row r="61">
      <c r="A61" s="3" t="inlineStr">
        <is>
          <t>Healthcare</t>
        </is>
      </c>
      <c r="B61" s="3" t="inlineStr">
        <is>
          <t>Denial of Service</t>
        </is>
      </c>
      <c r="C61" s="4" t="n">
        <v>0</v>
      </c>
      <c r="D61" s="3" t="inlineStr">
        <is>
          <t>Proportion</t>
        </is>
      </c>
      <c r="E61" s="3" t="inlineStr">
        <is>
          <t>Verizon 2026 Data Breach Investigations Report</t>
        </is>
      </c>
      <c r="F61" s="3" t="inlineStr">
        <is>
          <t>Figure 78 (Breaches by industry), p.78-79; Table 3, p.77 - calculated as (pattern breach count) / (industry total breaches). Cross-checked against stated combined top-3 = 81%; computed sum = 81.6% (gap +0.6pt) - excellent match.</t>
        </is>
      </c>
    </row>
    <row r="62">
      <c r="A62" s="3" t="inlineStr">
        <is>
          <t>Healthcare</t>
        </is>
      </c>
      <c r="B62" s="3" t="inlineStr">
        <is>
          <t>Lost and Stolen Assets</t>
        </is>
      </c>
      <c r="C62" s="4" t="n">
        <v>0.008999999999999999</v>
      </c>
      <c r="D62" s="3" t="inlineStr">
        <is>
          <t>Proportion</t>
        </is>
      </c>
      <c r="E62" s="3" t="inlineStr">
        <is>
          <t>Verizon 2026 Data Breach Investigations Report</t>
        </is>
      </c>
      <c r="F62" s="3" t="inlineStr">
        <is>
          <t>Figure 78 (Breaches by industry), p.78-79; Table 3, p.77 - calculated as (pattern breach count) / (industry total breaches). Cross-checked against stated combined top-3 = 81%; computed sum = 81.6% (gap +0.6pt) - excellent match.</t>
        </is>
      </c>
    </row>
    <row r="63">
      <c r="A63" s="3" t="inlineStr">
        <is>
          <t>Information</t>
        </is>
      </c>
      <c r="B63" s="3" t="inlineStr">
        <is>
          <t>System Intrusion</t>
        </is>
      </c>
      <c r="C63" s="4" t="n">
        <v>0.5469000000000001</v>
      </c>
      <c r="D63" s="3" t="inlineStr">
        <is>
          <t>Proportion</t>
        </is>
      </c>
      <c r="E63" s="3" t="inlineStr">
        <is>
          <t>Verizon 2026 Data Breach Investigations Report</t>
        </is>
      </c>
      <c r="F63" s="3" t="inlineStr">
        <is>
          <t>Figure 78 (Breaches by industry), p.78-79; Table 3, p.77 - calculated as (pattern breach count) / (industry total breaches). Cross-checked against stated combined top-3 = 79%; computed sum = 82.4% (gap +3.4pt) - moderate reading uncertainty.</t>
        </is>
      </c>
    </row>
    <row r="64">
      <c r="A64" s="3" t="inlineStr">
        <is>
          <t>Information</t>
        </is>
      </c>
      <c r="B64" s="3" t="inlineStr">
        <is>
          <t>Social Engineering</t>
        </is>
      </c>
      <c r="C64" s="4" t="n">
        <v>0.1074</v>
      </c>
      <c r="D64" s="3" t="inlineStr">
        <is>
          <t>Proportion</t>
        </is>
      </c>
      <c r="E64" s="3" t="inlineStr">
        <is>
          <t>Verizon 2026 Data Breach Investigations Report</t>
        </is>
      </c>
      <c r="F64" s="3" t="inlineStr">
        <is>
          <t>Figure 78 (Breaches by industry), p.78-79; Table 3, p.77 - calculated as (pattern breach count) / (industry total breaches). Cross-checked against stated combined top-3 = 79%; computed sum = 82.4% (gap +3.4pt) - moderate reading uncertainty.</t>
        </is>
      </c>
    </row>
    <row r="65">
      <c r="A65" s="3" t="inlineStr">
        <is>
          <t>Information</t>
        </is>
      </c>
      <c r="B65" s="3" t="inlineStr">
        <is>
          <t>Basic Web Application Attacks</t>
        </is>
      </c>
      <c r="C65" s="4" t="n">
        <v>0.1574</v>
      </c>
      <c r="D65" s="3" t="inlineStr">
        <is>
          <t>Proportion</t>
        </is>
      </c>
      <c r="E65" s="3" t="inlineStr">
        <is>
          <t>Verizon 2026 Data Breach Investigations Report</t>
        </is>
      </c>
      <c r="F65" s="3" t="inlineStr">
        <is>
          <t>Figure 78 (Breaches by industry), p.78-79; Table 3, p.77 - calculated as (pattern breach count) / (industry total breaches). Cross-checked against stated combined top-3 = 79%; computed sum = 82.4% (gap +3.4pt) - moderate reading uncertainty.</t>
        </is>
      </c>
    </row>
    <row r="66">
      <c r="A66" s="3" t="inlineStr">
        <is>
          <t>Information</t>
        </is>
      </c>
      <c r="B66" s="3" t="inlineStr">
        <is>
          <t>Miscellaneous Errors</t>
        </is>
      </c>
      <c r="C66" s="4" t="n">
        <v>0.081</v>
      </c>
      <c r="D66" s="3" t="inlineStr">
        <is>
          <t>Proportion</t>
        </is>
      </c>
      <c r="E66" s="3" t="inlineStr">
        <is>
          <t>Verizon 2026 Data Breach Investigations Report</t>
        </is>
      </c>
      <c r="F66" s="3" t="inlineStr">
        <is>
          <t>Figure 78 (Breaches by industry), p.78-79; Table 3, p.77 - calculated as (pattern breach count) / (industry total breaches). Cross-checked against stated combined top-3 = 79%; computed sum = 82.4% (gap +3.4pt) - moderate reading uncertainty.</t>
        </is>
      </c>
    </row>
    <row r="67">
      <c r="A67" s="3" t="inlineStr">
        <is>
          <t>Information</t>
        </is>
      </c>
      <c r="B67" s="3" t="inlineStr">
        <is>
          <t>Privilege Misuse</t>
        </is>
      </c>
      <c r="C67" s="4" t="n">
        <v>0.0237</v>
      </c>
      <c r="D67" s="3" t="inlineStr">
        <is>
          <t>Proportion</t>
        </is>
      </c>
      <c r="E67" s="3" t="inlineStr">
        <is>
          <t>Verizon 2026 Data Breach Investigations Report</t>
        </is>
      </c>
      <c r="F67" s="3" t="inlineStr">
        <is>
          <t>Figure 78 (Breaches by industry), p.78-79; Table 3, p.77 - calculated as (pattern breach count) / (industry total breaches). Cross-checked against stated combined top-3 = 79%; computed sum = 82.4% (gap +3.4pt) - moderate reading uncertainty.</t>
        </is>
      </c>
    </row>
    <row r="68">
      <c r="A68" s="3" t="inlineStr">
        <is>
          <t>Information</t>
        </is>
      </c>
      <c r="B68" s="3" t="inlineStr">
        <is>
          <t>Everything Else</t>
        </is>
      </c>
      <c r="C68" s="4" t="n">
        <v>0.1201</v>
      </c>
      <c r="D68" s="3" t="inlineStr">
        <is>
          <t>Proportion</t>
        </is>
      </c>
      <c r="E68" s="3" t="inlineStr">
        <is>
          <t>Verizon 2026 Data Breach Investigations Report</t>
        </is>
      </c>
      <c r="F68" s="3" t="inlineStr">
        <is>
          <t>Figure 78 (Breaches by industry), p.78-79; Table 3, p.77 - calculated as (pattern breach count) / (industry total breaches). Cross-checked against stated combined top-3 = 79%; computed sum = 82.4% (gap +3.4pt) - moderate reading uncertainty.</t>
        </is>
      </c>
    </row>
    <row r="69">
      <c r="A69" s="3" t="inlineStr">
        <is>
          <t>Information</t>
        </is>
      </c>
      <c r="B69" s="3" t="inlineStr">
        <is>
          <t>Denial of Service</t>
        </is>
      </c>
      <c r="C69" s="4" t="n">
        <v>0</v>
      </c>
      <c r="D69" s="3" t="inlineStr">
        <is>
          <t>Proportion</t>
        </is>
      </c>
      <c r="E69" s="3" t="inlineStr">
        <is>
          <t>Verizon 2026 Data Breach Investigations Report</t>
        </is>
      </c>
      <c r="F69" s="3" t="inlineStr">
        <is>
          <t>Figure 78 (Breaches by industry), p.78-79; Table 3, p.77 - calculated as (pattern breach count) / (industry total breaches). Cross-checked against stated combined top-3 = 79%; computed sum = 82.4% (gap +3.4pt) - moderate reading uncertainty.</t>
        </is>
      </c>
    </row>
    <row r="70">
      <c r="A70" s="3" t="inlineStr">
        <is>
          <t>Information</t>
        </is>
      </c>
      <c r="B70" s="3" t="inlineStr">
        <is>
          <t>Lost and Stolen Assets</t>
        </is>
      </c>
      <c r="C70" s="4" t="n">
        <v>0.0018</v>
      </c>
      <c r="D70" s="3" t="inlineStr">
        <is>
          <t>Proportion</t>
        </is>
      </c>
      <c r="E70" s="3" t="inlineStr">
        <is>
          <t>Verizon 2026 Data Breach Investigations Report</t>
        </is>
      </c>
      <c r="F70" s="3" t="inlineStr">
        <is>
          <t>Figure 78 (Breaches by industry), p.78-79; Table 3, p.77 - calculated as (pattern breach count) / (industry total breaches). Cross-checked against stated combined top-3 = 79%; computed sum = 82.4% (gap +3.4pt) - moderate reading uncertainty.</t>
        </is>
      </c>
    </row>
    <row r="71">
      <c r="A71" s="3" t="inlineStr">
        <is>
          <t>Manufacturing</t>
        </is>
      </c>
      <c r="B71" s="3" t="inlineStr">
        <is>
          <t>System Intrusion</t>
        </is>
      </c>
      <c r="C71" s="4" t="n">
        <v>0.7803</v>
      </c>
      <c r="D71" s="3" t="inlineStr">
        <is>
          <t>Proportion</t>
        </is>
      </c>
      <c r="E71" s="3" t="inlineStr">
        <is>
          <t>Verizon 2026 Data Breach Investigations Report</t>
        </is>
      </c>
      <c r="F71" s="3" t="inlineStr">
        <is>
          <t>Figure 78 (Breaches by industry), p.78-79; Table 3, p.77 - calculated as (pattern breach count) / (industry total breaches). Cross-checked against stated combined top-3 = 91%; computed sum = 97.2% (gap +6.2pt) - moderate reading uncertainty in dense matrix.</t>
        </is>
      </c>
    </row>
    <row r="72">
      <c r="A72" s="3" t="inlineStr">
        <is>
          <t>Manufacturing</t>
        </is>
      </c>
      <c r="B72" s="3" t="inlineStr">
        <is>
          <t>Social Engineering</t>
        </is>
      </c>
      <c r="C72" s="4" t="n">
        <v>0.1132</v>
      </c>
      <c r="D72" s="3" t="inlineStr">
        <is>
          <t>Proportion</t>
        </is>
      </c>
      <c r="E72" s="3" t="inlineStr">
        <is>
          <t>Verizon 2026 Data Breach Investigations Report</t>
        </is>
      </c>
      <c r="F72" s="3" t="inlineStr">
        <is>
          <t>Figure 78 (Breaches by industry), p.78-79; Table 3, p.77 - calculated as (pattern breach count) / (industry total breaches). Cross-checked against stated combined top-3 = 91%; computed sum = 97.2% (gap +6.2pt) - moderate reading uncertainty in dense matrix.</t>
        </is>
      </c>
    </row>
    <row r="73">
      <c r="A73" s="3" t="inlineStr">
        <is>
          <t>Manufacturing</t>
        </is>
      </c>
      <c r="B73" s="3" t="inlineStr">
        <is>
          <t>Basic Web Application Attacks</t>
        </is>
      </c>
      <c r="C73" s="4" t="n">
        <v>0.0789</v>
      </c>
      <c r="D73" s="3" t="inlineStr">
        <is>
          <t>Proportion</t>
        </is>
      </c>
      <c r="E73" s="3" t="inlineStr">
        <is>
          <t>Verizon 2026 Data Breach Investigations Report</t>
        </is>
      </c>
      <c r="F73" s="3" t="inlineStr">
        <is>
          <t>Figure 78 (Breaches by industry), p.78-79; Table 3, p.77 - calculated as (pattern breach count) / (industry total breaches). Cross-checked against stated combined top-3 = 91%; computed sum = 97.2% (gap +6.2pt) - moderate reading uncertainty in dense matrix.</t>
        </is>
      </c>
    </row>
    <row r="74">
      <c r="A74" s="3" t="inlineStr">
        <is>
          <t>Manufacturing</t>
        </is>
      </c>
      <c r="B74" s="3" t="inlineStr">
        <is>
          <t>Miscellaneous Errors</t>
        </is>
      </c>
      <c r="C74" s="4" t="n">
        <v>0.0265</v>
      </c>
      <c r="D74" s="3" t="inlineStr">
        <is>
          <t>Proportion</t>
        </is>
      </c>
      <c r="E74" s="3" t="inlineStr">
        <is>
          <t>Verizon 2026 Data Breach Investigations Report</t>
        </is>
      </c>
      <c r="F74" s="3" t="inlineStr">
        <is>
          <t>Figure 78 (Breaches by industry), p.78-79; Table 3, p.77 - calculated as (pattern breach count) / (industry total breaches). Cross-checked against stated combined top-3 = 91%; computed sum = 97.2% (gap +6.2pt) - moderate reading uncertainty in dense matrix.</t>
        </is>
      </c>
    </row>
    <row r="75">
      <c r="A75" s="3" t="inlineStr">
        <is>
          <t>Manufacturing</t>
        </is>
      </c>
      <c r="B75" s="3" t="inlineStr">
        <is>
          <t>Privilege Misuse</t>
        </is>
      </c>
      <c r="C75" s="4" t="n">
        <v>0.017</v>
      </c>
      <c r="D75" s="3" t="inlineStr">
        <is>
          <t>Proportion</t>
        </is>
      </c>
      <c r="E75" s="3" t="inlineStr">
        <is>
          <t>Verizon 2026 Data Breach Investigations Report</t>
        </is>
      </c>
      <c r="F75" s="3" t="inlineStr">
        <is>
          <t>Figure 78 (Breaches by industry), p.78-79; Table 3, p.77 - calculated as (pattern breach count) / (industry total breaches). Cross-checked against stated combined top-3 = 91%; computed sum = 97.2% (gap +6.2pt) - moderate reading uncertainty in dense matrix.</t>
        </is>
      </c>
    </row>
    <row r="76">
      <c r="A76" s="3" t="inlineStr">
        <is>
          <t>Manufacturing</t>
        </is>
      </c>
      <c r="B76" s="3" t="inlineStr">
        <is>
          <t>Everything Else</t>
        </is>
      </c>
      <c r="C76" s="4" t="n">
        <v>0.0453</v>
      </c>
      <c r="D76" s="3" t="inlineStr">
        <is>
          <t>Proportion</t>
        </is>
      </c>
      <c r="E76" s="3" t="inlineStr">
        <is>
          <t>Verizon 2026 Data Breach Investigations Report</t>
        </is>
      </c>
      <c r="F76" s="3" t="inlineStr">
        <is>
          <t>Figure 78 (Breaches by industry), p.78-79; Table 3, p.77 - calculated as (pattern breach count) / (industry total breaches). Cross-checked against stated combined top-3 = 91%; computed sum = 97.2% (gap +6.2pt) - moderate reading uncertainty in dense matrix.</t>
        </is>
      </c>
    </row>
    <row r="77">
      <c r="A77" s="3" t="inlineStr">
        <is>
          <t>Manufacturing</t>
        </is>
      </c>
      <c r="B77" s="3" t="inlineStr">
        <is>
          <t>Denial of Service</t>
        </is>
      </c>
      <c r="C77" s="4" t="n">
        <v>0</v>
      </c>
      <c r="D77" s="3" t="inlineStr">
        <is>
          <t>Proportion</t>
        </is>
      </c>
      <c r="E77" s="3" t="inlineStr">
        <is>
          <t>Verizon 2026 Data Breach Investigations Report</t>
        </is>
      </c>
      <c r="F77" s="3" t="inlineStr">
        <is>
          <t>Figure 78 (Breaches by industry), p.78-79; Table 3, p.77 - calculated as (pattern breach count) / (industry total breaches). Cross-checked against stated combined top-3 = 91%; computed sum = 97.2% (gap +6.2pt) - moderate reading uncertainty in dense matrix.</t>
        </is>
      </c>
    </row>
    <row r="78">
      <c r="A78" s="3" t="inlineStr">
        <is>
          <t>Manufacturing</t>
        </is>
      </c>
      <c r="B78" s="3" t="inlineStr">
        <is>
          <t>Lost and Stolen Assets</t>
        </is>
      </c>
      <c r="C78" s="4" t="n">
        <v>0.0015</v>
      </c>
      <c r="D78" s="3" t="inlineStr">
        <is>
          <t>Proportion</t>
        </is>
      </c>
      <c r="E78" s="3" t="inlineStr">
        <is>
          <t>Verizon 2026 Data Breach Investigations Report</t>
        </is>
      </c>
      <c r="F78" s="3" t="inlineStr">
        <is>
          <t>Figure 78 (Breaches by industry), p.78-79; Table 3, p.77 - calculated as (pattern breach count) / (industry total breaches). Cross-checked against stated combined top-3 = 91%; computed sum = 97.2% (gap +6.2pt) - moderate reading uncertainty in dense matrix.</t>
        </is>
      </c>
    </row>
    <row r="79">
      <c r="A79" s="3" t="inlineStr">
        <is>
          <t>Mining &amp; Utilities (combined)</t>
        </is>
      </c>
      <c r="B79" s="3" t="inlineStr">
        <is>
          <t>System Intrusion</t>
        </is>
      </c>
      <c r="C79" s="4" t="n">
        <v>0.7406</v>
      </c>
      <c r="D79" s="3" t="inlineStr">
        <is>
          <t>Proportion</t>
        </is>
      </c>
      <c r="E79" s="3" t="inlineStr">
        <is>
          <t>Verizon 2026 Data Breach Investigations Report</t>
        </is>
      </c>
      <c r="F79"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0">
      <c r="A80" s="3" t="inlineStr">
        <is>
          <t>Mining &amp; Utilities (combined)</t>
        </is>
      </c>
      <c r="B80" s="3" t="inlineStr">
        <is>
          <t>Social Engineering</t>
        </is>
      </c>
      <c r="C80" s="4" t="n">
        <v>0.1589</v>
      </c>
      <c r="D80" s="3" t="inlineStr">
        <is>
          <t>Proportion</t>
        </is>
      </c>
      <c r="E80" s="3" t="inlineStr">
        <is>
          <t>Verizon 2026 Data Breach Investigations Report</t>
        </is>
      </c>
      <c r="F80"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1">
      <c r="A81" s="3" t="inlineStr">
        <is>
          <t>Mining &amp; Utilities (combined)</t>
        </is>
      </c>
      <c r="B81" s="3" t="inlineStr">
        <is>
          <t>Basic Web Application Attacks</t>
        </is>
      </c>
      <c r="C81" s="4" t="n">
        <v>0.1679</v>
      </c>
      <c r="D81" s="3" t="inlineStr">
        <is>
          <t>Proportion</t>
        </is>
      </c>
      <c r="E81" s="3" t="inlineStr">
        <is>
          <t>Verizon 2026 Data Breach Investigations Report</t>
        </is>
      </c>
      <c r="F81"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2">
      <c r="A82" s="3" t="inlineStr">
        <is>
          <t>Mining &amp; Utilities (combined)</t>
        </is>
      </c>
      <c r="B82" s="3" t="inlineStr">
        <is>
          <t>Miscellaneous Errors</t>
        </is>
      </c>
      <c r="C82" s="4" t="n">
        <v>0.0225</v>
      </c>
      <c r="D82" s="3" t="inlineStr">
        <is>
          <t>Proportion</t>
        </is>
      </c>
      <c r="E82" s="3" t="inlineStr">
        <is>
          <t>Verizon 2026 Data Breach Investigations Report</t>
        </is>
      </c>
      <c r="F82"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3">
      <c r="A83" s="3" t="inlineStr">
        <is>
          <t>Mining &amp; Utilities (combined)</t>
        </is>
      </c>
      <c r="B83" s="3" t="inlineStr">
        <is>
          <t>Privilege Misuse</t>
        </is>
      </c>
      <c r="C83" s="4" t="n">
        <v>0.006</v>
      </c>
      <c r="D83" s="3" t="inlineStr">
        <is>
          <t>Proportion</t>
        </is>
      </c>
      <c r="E83" s="3" t="inlineStr">
        <is>
          <t>Verizon 2026 Data Breach Investigations Report</t>
        </is>
      </c>
      <c r="F83"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4">
      <c r="A84" s="3" t="inlineStr">
        <is>
          <t>Mining &amp; Utilities (combined)</t>
        </is>
      </c>
      <c r="B84" s="3" t="inlineStr">
        <is>
          <t>Everything Else</t>
        </is>
      </c>
      <c r="C84" s="4" t="n">
        <v>0.036</v>
      </c>
      <c r="D84" s="3" t="inlineStr">
        <is>
          <t>Proportion</t>
        </is>
      </c>
      <c r="E84" s="3" t="inlineStr">
        <is>
          <t>Verizon 2026 Data Breach Investigations Report</t>
        </is>
      </c>
      <c r="F84"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5">
      <c r="A85" s="3" t="inlineStr">
        <is>
          <t>Mining &amp; Utilities (combined)</t>
        </is>
      </c>
      <c r="B85" s="3" t="inlineStr">
        <is>
          <t>Denial of Service</t>
        </is>
      </c>
      <c r="C85" s="4" t="n">
        <v>0</v>
      </c>
      <c r="D85" s="3" t="inlineStr">
        <is>
          <t>Proportion</t>
        </is>
      </c>
      <c r="E85" s="3" t="inlineStr">
        <is>
          <t>Verizon 2026 Data Breach Investigations Report</t>
        </is>
      </c>
      <c r="F85"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6">
      <c r="A86" s="3" t="inlineStr">
        <is>
          <t>Mining &amp; Utilities (combined)</t>
        </is>
      </c>
      <c r="B86" s="3" t="inlineStr">
        <is>
          <t>Lost and Stolen Assets</t>
        </is>
      </c>
      <c r="C86" s="4" t="n">
        <v>0</v>
      </c>
      <c r="D86" s="3" t="inlineStr">
        <is>
          <t>Proportion</t>
        </is>
      </c>
      <c r="E86" s="3" t="inlineStr">
        <is>
          <t>Verizon 2026 Data Breach Investigations Report</t>
        </is>
      </c>
      <c r="F86" s="3" t="inlineStr">
        <is>
          <t>Figure 78 (Breaches by industry), p.78-79; Table 3, p.77 - calculated as (pattern breach count) / (industry total breaches). Mining (NAICS 21) and Utilities (NAICS 22) share a single column in Figure 78 and cannot be split individually; no combined-category statement exists elsewhere to cross-check.</t>
        </is>
      </c>
    </row>
    <row r="87">
      <c r="A87" s="3" t="inlineStr">
        <is>
          <t>Other Services</t>
        </is>
      </c>
      <c r="B87" s="3" t="inlineStr">
        <is>
          <t>System Intrusion</t>
        </is>
      </c>
      <c r="C87" s="4" t="n">
        <v>0.5006</v>
      </c>
      <c r="D87" s="3" t="inlineStr">
        <is>
          <t>Proportion</t>
        </is>
      </c>
      <c r="E87" s="3" t="inlineStr">
        <is>
          <t>Verizon 2026 Data Breach Investigations Report</t>
        </is>
      </c>
      <c r="F87" s="3" t="inlineStr">
        <is>
          <t>Figure 78 (Breaches by industry), p.78-79; Table 3, p.77 - calculated as (pattern breach count) / (industry total breaches). Cross-checked against stated combined top-3 = 85%; computed sum = 86.0% (gap +1.0pt) - good match.</t>
        </is>
      </c>
    </row>
    <row r="88">
      <c r="A88" s="3" t="inlineStr">
        <is>
          <t>Other Services</t>
        </is>
      </c>
      <c r="B88" s="3" t="inlineStr">
        <is>
          <t>Social Engineering</t>
        </is>
      </c>
      <c r="C88" s="4" t="n">
        <v>0.2395</v>
      </c>
      <c r="D88" s="3" t="inlineStr">
        <is>
          <t>Proportion</t>
        </is>
      </c>
      <c r="E88" s="3" t="inlineStr">
        <is>
          <t>Verizon 2026 Data Breach Investigations Report</t>
        </is>
      </c>
      <c r="F88" s="3" t="inlineStr">
        <is>
          <t>Figure 78 (Breaches by industry), p.78-79; Table 3, p.77 - calculated as (pattern breach count) / (industry total breaches). Cross-checked against stated combined top-3 = 85%; computed sum = 86.0% (gap +1.0pt) - good match.</t>
        </is>
      </c>
    </row>
    <row r="89">
      <c r="A89" s="3" t="inlineStr">
        <is>
          <t>Other Services</t>
        </is>
      </c>
      <c r="B89" s="3" t="inlineStr">
        <is>
          <t>Basic Web Application Attacks</t>
        </is>
      </c>
      <c r="C89" s="4" t="n">
        <v>0.0429</v>
      </c>
      <c r="D89" s="3" t="inlineStr">
        <is>
          <t>Proportion</t>
        </is>
      </c>
      <c r="E89" s="3" t="inlineStr">
        <is>
          <t>Verizon 2026 Data Breach Investigations Report</t>
        </is>
      </c>
      <c r="F89" s="3" t="inlineStr">
        <is>
          <t>Figure 78 (Breaches by industry), p.78-79; Table 3, p.77 - calculated as (pattern breach count) / (industry total breaches). Cross-checked against stated combined top-3 = 85%; computed sum = 86.0% (gap +1.0pt) - good match.</t>
        </is>
      </c>
    </row>
    <row r="90">
      <c r="A90" s="3" t="inlineStr">
        <is>
          <t>Other Services</t>
        </is>
      </c>
      <c r="B90" s="3" t="inlineStr">
        <is>
          <t>Miscellaneous Errors</t>
        </is>
      </c>
      <c r="C90" s="4" t="n">
        <v>0.1186</v>
      </c>
      <c r="D90" s="3" t="inlineStr">
        <is>
          <t>Proportion</t>
        </is>
      </c>
      <c r="E90" s="3" t="inlineStr">
        <is>
          <t>Verizon 2026 Data Breach Investigations Report</t>
        </is>
      </c>
      <c r="F90" s="3" t="inlineStr">
        <is>
          <t>Figure 78 (Breaches by industry), p.78-79; Table 3, p.77 - calculated as (pattern breach count) / (industry total breaches). Cross-checked against stated combined top-3 = 85%; computed sum = 86.0% (gap +1.0pt) - good match.</t>
        </is>
      </c>
    </row>
    <row r="91">
      <c r="A91" s="3" t="inlineStr">
        <is>
          <t>Other Services</t>
        </is>
      </c>
      <c r="B91" s="3" t="inlineStr">
        <is>
          <t>Privilege Misuse</t>
        </is>
      </c>
      <c r="C91" s="4" t="n">
        <v>0.0576</v>
      </c>
      <c r="D91" s="3" t="inlineStr">
        <is>
          <t>Proportion</t>
        </is>
      </c>
      <c r="E91" s="3" t="inlineStr">
        <is>
          <t>Verizon 2026 Data Breach Investigations Report</t>
        </is>
      </c>
      <c r="F91" s="3" t="inlineStr">
        <is>
          <t>Figure 78 (Breaches by industry), p.78-79; Table 3, p.77 - calculated as (pattern breach count) / (industry total breaches). Cross-checked against stated combined top-3 = 85%; computed sum = 86.0% (gap +1.0pt) - good match.</t>
        </is>
      </c>
    </row>
    <row r="92">
      <c r="A92" s="3" t="inlineStr">
        <is>
          <t>Other Services</t>
        </is>
      </c>
      <c r="B92" s="3" t="inlineStr">
        <is>
          <t>Everything Else</t>
        </is>
      </c>
      <c r="C92" s="4" t="n">
        <v>0.0508</v>
      </c>
      <c r="D92" s="3" t="inlineStr">
        <is>
          <t>Proportion</t>
        </is>
      </c>
      <c r="E92" s="3" t="inlineStr">
        <is>
          <t>Verizon 2026 Data Breach Investigations Report</t>
        </is>
      </c>
      <c r="F92" s="3" t="inlineStr">
        <is>
          <t>Figure 78 (Breaches by industry), p.78-79; Table 3, p.77 - calculated as (pattern breach count) / (industry total breaches). Cross-checked against stated combined top-3 = 85%; computed sum = 86.0% (gap +1.0pt) - good match.</t>
        </is>
      </c>
    </row>
    <row r="93">
      <c r="A93" s="3" t="inlineStr">
        <is>
          <t>Other Services</t>
        </is>
      </c>
      <c r="B93" s="3" t="inlineStr">
        <is>
          <t>Denial of Service</t>
        </is>
      </c>
      <c r="C93" s="4" t="n">
        <v>0</v>
      </c>
      <c r="D93" s="3" t="inlineStr">
        <is>
          <t>Proportion</t>
        </is>
      </c>
      <c r="E93" s="3" t="inlineStr">
        <is>
          <t>Verizon 2026 Data Breach Investigations Report</t>
        </is>
      </c>
      <c r="F93" s="3" t="inlineStr">
        <is>
          <t>Figure 78 (Breaches by industry), p.78-79; Table 3, p.77 - calculated as (pattern breach count) / (industry total breaches). Cross-checked against stated combined top-3 = 85%; computed sum = 86.0% (gap +1.0pt) - good match.</t>
        </is>
      </c>
    </row>
    <row r="94">
      <c r="A94" s="3" t="inlineStr">
        <is>
          <t>Other Services</t>
        </is>
      </c>
      <c r="B94" s="3" t="inlineStr">
        <is>
          <t>Lost and Stolen Assets</t>
        </is>
      </c>
      <c r="C94" s="4" t="n">
        <v>0.0113</v>
      </c>
      <c r="D94" s="3" t="inlineStr">
        <is>
          <t>Proportion</t>
        </is>
      </c>
      <c r="E94" s="3" t="inlineStr">
        <is>
          <t>Verizon 2026 Data Breach Investigations Report</t>
        </is>
      </c>
      <c r="F94" s="3" t="inlineStr">
        <is>
          <t>Figure 78 (Breaches by industry), p.78-79; Table 3, p.77 - calculated as (pattern breach count) / (industry total breaches). Cross-checked against stated combined top-3 = 85%; computed sum = 86.0% (gap +1.0pt) - good match.</t>
        </is>
      </c>
    </row>
    <row r="95">
      <c r="A95" s="3" t="inlineStr">
        <is>
          <t>Professional</t>
        </is>
      </c>
      <c r="B95" s="3" t="inlineStr">
        <is>
          <t>System Intrusion</t>
        </is>
      </c>
      <c r="C95" s="4" t="n">
        <v>0.7322</v>
      </c>
      <c r="D95" s="3" t="inlineStr">
        <is>
          <t>Proportion</t>
        </is>
      </c>
      <c r="E95" s="3" t="inlineStr">
        <is>
          <t>Verizon 2026 Data Breach Investigations Report</t>
        </is>
      </c>
      <c r="F95" s="3" t="inlineStr">
        <is>
          <t>Figure 78 (Breaches by industry), p.78-79; Table 3, p.77 - calculated as (pattern breach count) / (industry total breaches). Cross-checked against stated combined top-3 = 91%; computed sum = 95.4% (gap +4.4pt) - moderate reading uncertainty.</t>
        </is>
      </c>
    </row>
    <row r="96">
      <c r="A96" s="3" t="inlineStr">
        <is>
          <t>Professional</t>
        </is>
      </c>
      <c r="B96" s="3" t="inlineStr">
        <is>
          <t>Social Engineering</t>
        </is>
      </c>
      <c r="C96" s="4" t="n">
        <v>0.1489</v>
      </c>
      <c r="D96" s="3" t="inlineStr">
        <is>
          <t>Proportion</t>
        </is>
      </c>
      <c r="E96" s="3" t="inlineStr">
        <is>
          <t>Verizon 2026 Data Breach Investigations Report</t>
        </is>
      </c>
      <c r="F96" s="3" t="inlineStr">
        <is>
          <t>Figure 78 (Breaches by industry), p.78-79; Table 3, p.77 - calculated as (pattern breach count) / (industry total breaches). Cross-checked against stated combined top-3 = 91%; computed sum = 95.4% (gap +4.4pt) - moderate reading uncertainty.</t>
        </is>
      </c>
    </row>
    <row r="97">
      <c r="A97" s="3" t="inlineStr">
        <is>
          <t>Professional</t>
        </is>
      </c>
      <c r="B97" s="3" t="inlineStr">
        <is>
          <t>Basic Web Application Attacks</t>
        </is>
      </c>
      <c r="C97" s="4" t="n">
        <v>0.0731</v>
      </c>
      <c r="D97" s="3" t="inlineStr">
        <is>
          <t>Proportion</t>
        </is>
      </c>
      <c r="E97" s="3" t="inlineStr">
        <is>
          <t>Verizon 2026 Data Breach Investigations Report</t>
        </is>
      </c>
      <c r="F97" s="3" t="inlineStr">
        <is>
          <t>Figure 78 (Breaches by industry), p.78-79; Table 3, p.77 - calculated as (pattern breach count) / (industry total breaches). Cross-checked against stated combined top-3 = 91%; computed sum = 95.4% (gap +4.4pt) - moderate reading uncertainty.</t>
        </is>
      </c>
    </row>
    <row r="98">
      <c r="A98" s="3" t="inlineStr">
        <is>
          <t>Professional</t>
        </is>
      </c>
      <c r="B98" s="3" t="inlineStr">
        <is>
          <t>Miscellaneous Errors</t>
        </is>
      </c>
      <c r="C98" s="4" t="n">
        <v>0.0227</v>
      </c>
      <c r="D98" s="3" t="inlineStr">
        <is>
          <t>Proportion</t>
        </is>
      </c>
      <c r="E98" s="3" t="inlineStr">
        <is>
          <t>Verizon 2026 Data Breach Investigations Report</t>
        </is>
      </c>
      <c r="F98" s="3" t="inlineStr">
        <is>
          <t>Figure 78 (Breaches by industry), p.78-79; Table 3, p.77 - calculated as (pattern breach count) / (industry total breaches). Cross-checked against stated combined top-3 = 91%; computed sum = 95.4% (gap +4.4pt) - moderate reading uncertainty.</t>
        </is>
      </c>
    </row>
    <row r="99">
      <c r="A99" s="3" t="inlineStr">
        <is>
          <t>Professional</t>
        </is>
      </c>
      <c r="B99" s="3" t="inlineStr">
        <is>
          <t>Privilege Misuse</t>
        </is>
      </c>
      <c r="C99" s="4" t="n">
        <v>0.0063</v>
      </c>
      <c r="D99" s="3" t="inlineStr">
        <is>
          <t>Proportion</t>
        </is>
      </c>
      <c r="E99" s="3" t="inlineStr">
        <is>
          <t>Verizon 2026 Data Breach Investigations Report</t>
        </is>
      </c>
      <c r="F99" s="3" t="inlineStr">
        <is>
          <t>Figure 78 (Breaches by industry), p.78-79; Table 3, p.77 - calculated as (pattern breach count) / (industry total breaches). Cross-checked against stated combined top-3 = 91%; computed sum = 95.4% (gap +4.4pt) - moderate reading uncertainty.</t>
        </is>
      </c>
    </row>
    <row r="100">
      <c r="A100" s="3" t="inlineStr">
        <is>
          <t>Professional</t>
        </is>
      </c>
      <c r="B100" s="3" t="inlineStr">
        <is>
          <t>Everything Else</t>
        </is>
      </c>
      <c r="C100" s="4" t="n">
        <v>0.059</v>
      </c>
      <c r="D100" s="3" t="inlineStr">
        <is>
          <t>Proportion</t>
        </is>
      </c>
      <c r="E100" s="3" t="inlineStr">
        <is>
          <t>Verizon 2026 Data Breach Investigations Report</t>
        </is>
      </c>
      <c r="F100" s="3" t="inlineStr">
        <is>
          <t>Figure 78 (Breaches by industry), p.78-79; Table 3, p.77 - calculated as (pattern breach count) / (industry total breaches). Cross-checked against stated combined top-3 = 91%; computed sum = 95.4% (gap +4.4pt) - moderate reading uncertainty.</t>
        </is>
      </c>
    </row>
    <row r="101">
      <c r="A101" s="3" t="inlineStr">
        <is>
          <t>Professional</t>
        </is>
      </c>
      <c r="B101" s="3" t="inlineStr">
        <is>
          <t>Denial of Service</t>
        </is>
      </c>
      <c r="C101" s="4" t="n">
        <v>0</v>
      </c>
      <c r="D101" s="3" t="inlineStr">
        <is>
          <t>Proportion</t>
        </is>
      </c>
      <c r="E101" s="3" t="inlineStr">
        <is>
          <t>Verizon 2026 Data Breach Investigations Report</t>
        </is>
      </c>
      <c r="F101" s="3" t="inlineStr">
        <is>
          <t>Figure 78 (Breaches by industry), p.78-79; Table 3, p.77 - calculated as (pattern breach count) / (industry total breaches). Cross-checked against stated combined top-3 = 91%; computed sum = 95.4% (gap +4.4pt) - moderate reading uncertainty.</t>
        </is>
      </c>
    </row>
    <row r="102">
      <c r="A102" s="3" t="inlineStr">
        <is>
          <t>Professional</t>
        </is>
      </c>
      <c r="B102" s="3" t="inlineStr">
        <is>
          <t>Lost and Stolen Assets</t>
        </is>
      </c>
      <c r="C102" s="4" t="n">
        <v>0.002</v>
      </c>
      <c r="D102" s="3" t="inlineStr">
        <is>
          <t>Proportion</t>
        </is>
      </c>
      <c r="E102" s="3" t="inlineStr">
        <is>
          <t>Verizon 2026 Data Breach Investigations Report</t>
        </is>
      </c>
      <c r="F102" s="3" t="inlineStr">
        <is>
          <t>Figure 78 (Breaches by industry), p.78-79; Table 3, p.77 - calculated as (pattern breach count) / (industry total breaches). Cross-checked against stated combined top-3 = 91%; computed sum = 95.4% (gap +4.4pt) - moderate reading uncertainty.</t>
        </is>
      </c>
    </row>
    <row r="103">
      <c r="A103" s="3" t="inlineStr">
        <is>
          <t>Public Administration</t>
        </is>
      </c>
      <c r="B103" s="3" t="inlineStr">
        <is>
          <t>System Intrusion</t>
        </is>
      </c>
      <c r="C103" s="4" t="n">
        <v>0.3668</v>
      </c>
      <c r="D103" s="3" t="inlineStr">
        <is>
          <t>Proportion</t>
        </is>
      </c>
      <c r="E103" s="3" t="inlineStr">
        <is>
          <t>Verizon 2026 Data Breach Investigations Report</t>
        </is>
      </c>
      <c r="F103"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4">
      <c r="A104" s="3" t="inlineStr">
        <is>
          <t>Public Administration</t>
        </is>
      </c>
      <c r="B104" s="3" t="inlineStr">
        <is>
          <t>Social Engineering</t>
        </is>
      </c>
      <c r="C104" s="4" t="n">
        <v>0.1261</v>
      </c>
      <c r="D104" s="3" t="inlineStr">
        <is>
          <t>Proportion</t>
        </is>
      </c>
      <c r="E104" s="3" t="inlineStr">
        <is>
          <t>Verizon 2026 Data Breach Investigations Report</t>
        </is>
      </c>
      <c r="F104"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5">
      <c r="A105" s="3" t="inlineStr">
        <is>
          <t>Public Administration</t>
        </is>
      </c>
      <c r="B105" s="3" t="inlineStr">
        <is>
          <t>Basic Web Application Attacks</t>
        </is>
      </c>
      <c r="C105" s="4" t="n">
        <v>0.0552</v>
      </c>
      <c r="D105" s="3" t="inlineStr">
        <is>
          <t>Proportion</t>
        </is>
      </c>
      <c r="E105" s="3" t="inlineStr">
        <is>
          <t>Verizon 2026 Data Breach Investigations Report</t>
        </is>
      </c>
      <c r="F105"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6">
      <c r="A106" s="3" t="inlineStr">
        <is>
          <t>Public Administration</t>
        </is>
      </c>
      <c r="B106" s="3" t="inlineStr">
        <is>
          <t>Miscellaneous Errors</t>
        </is>
      </c>
      <c r="C106" s="4" t="n">
        <v>0.3083</v>
      </c>
      <c r="D106" s="3" t="inlineStr">
        <is>
          <t>Proportion</t>
        </is>
      </c>
      <c r="E106" s="3" t="inlineStr">
        <is>
          <t>Verizon 2026 Data Breach Investigations Report</t>
        </is>
      </c>
      <c r="F106"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7">
      <c r="A107" s="3" t="inlineStr">
        <is>
          <t>Public Administration</t>
        </is>
      </c>
      <c r="B107" s="3" t="inlineStr">
        <is>
          <t>Privilege Misuse</t>
        </is>
      </c>
      <c r="C107" s="4" t="n">
        <v>0.127</v>
      </c>
      <c r="D107" s="3" t="inlineStr">
        <is>
          <t>Proportion</t>
        </is>
      </c>
      <c r="E107" s="3" t="inlineStr">
        <is>
          <t>Verizon 2026 Data Breach Investigations Report</t>
        </is>
      </c>
      <c r="F107"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8">
      <c r="A108" s="3" t="inlineStr">
        <is>
          <t>Public Administration</t>
        </is>
      </c>
      <c r="B108" s="3" t="inlineStr">
        <is>
          <t>Everything Else</t>
        </is>
      </c>
      <c r="C108" s="4" t="n">
        <v>0.0485</v>
      </c>
      <c r="D108" s="3" t="inlineStr">
        <is>
          <t>Proportion</t>
        </is>
      </c>
      <c r="E108" s="3" t="inlineStr">
        <is>
          <t>Verizon 2026 Data Breach Investigations Report</t>
        </is>
      </c>
      <c r="F108"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09">
      <c r="A109" s="3" t="inlineStr">
        <is>
          <t>Public Administration</t>
        </is>
      </c>
      <c r="B109" s="3" t="inlineStr">
        <is>
          <t>Denial of Service</t>
        </is>
      </c>
      <c r="C109" s="4" t="n">
        <v>0.0008</v>
      </c>
      <c r="D109" s="3" t="inlineStr">
        <is>
          <t>Proportion</t>
        </is>
      </c>
      <c r="E109" s="3" t="inlineStr">
        <is>
          <t>Verizon 2026 Data Breach Investigations Report</t>
        </is>
      </c>
      <c r="F109"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10">
      <c r="A110" s="3" t="inlineStr">
        <is>
          <t>Public Administration</t>
        </is>
      </c>
      <c r="B110" s="3" t="inlineStr">
        <is>
          <t>Lost and Stolen Assets</t>
        </is>
      </c>
      <c r="C110" s="4" t="n">
        <v>0.0021</v>
      </c>
      <c r="D110" s="3" t="inlineStr">
        <is>
          <t>Proportion</t>
        </is>
      </c>
      <c r="E110" s="3" t="inlineStr">
        <is>
          <t>Verizon 2026 Data Breach Investigations Report</t>
        </is>
      </c>
      <c r="F110" s="3" t="inlineStr">
        <is>
          <t>Figure 78 (Breaches by industry), p.78-79; Table 3, p.77 - calculated as (pattern breach count) / (industry total breaches). Cross-checked against stated combined top-3 = 80%; computed sum = 80.2% (gap +0.2pt) - excellent match; Miscellaneous Errors also matches body text exactly (31%).</t>
        </is>
      </c>
    </row>
    <row r="111">
      <c r="A111" s="3" t="inlineStr">
        <is>
          <t>Real Estate</t>
        </is>
      </c>
      <c r="B111" s="3" t="inlineStr">
        <is>
          <t>System Intrusion</t>
        </is>
      </c>
      <c r="C111" s="4" t="n">
        <v>0.5431</v>
      </c>
      <c r="D111" s="3" t="inlineStr">
        <is>
          <t>Proportion</t>
        </is>
      </c>
      <c r="E111" s="3" t="inlineStr">
        <is>
          <t>Verizon 2026 Data Breach Investigations Report</t>
        </is>
      </c>
      <c r="F111" s="3" t="inlineStr">
        <is>
          <t>Figure 78 (Breaches by industry), p.78-79; Table 3, p.77 - calculated as (pattern breach count) / (industry total breaches). Cross-checked against stated combined top-3 = 85%; computed sum = 85.5% (gap +0.5pt) - good match.</t>
        </is>
      </c>
    </row>
    <row r="112">
      <c r="A112" s="3" t="inlineStr">
        <is>
          <t>Real Estate</t>
        </is>
      </c>
      <c r="B112" s="3" t="inlineStr">
        <is>
          <t>Social Engineering</t>
        </is>
      </c>
      <c r="C112" s="4" t="n">
        <v>0.1743</v>
      </c>
      <c r="D112" s="3" t="inlineStr">
        <is>
          <t>Proportion</t>
        </is>
      </c>
      <c r="E112" s="3" t="inlineStr">
        <is>
          <t>Verizon 2026 Data Breach Investigations Report</t>
        </is>
      </c>
      <c r="F112" s="3" t="inlineStr">
        <is>
          <t>Figure 78 (Breaches by industry), p.78-79; Table 3, p.77 - calculated as (pattern breach count) / (industry total breaches). Cross-checked against stated combined top-3 = 85%; computed sum = 85.5% (gap +0.5pt) - good match.</t>
        </is>
      </c>
    </row>
    <row r="113">
      <c r="A113" s="3" t="inlineStr">
        <is>
          <t>Real Estate</t>
        </is>
      </c>
      <c r="B113" s="3" t="inlineStr">
        <is>
          <t>Basic Web Application Attacks</t>
        </is>
      </c>
      <c r="C113" s="4" t="n">
        <v>0.0481</v>
      </c>
      <c r="D113" s="3" t="inlineStr">
        <is>
          <t>Proportion</t>
        </is>
      </c>
      <c r="E113" s="3" t="inlineStr">
        <is>
          <t>Verizon 2026 Data Breach Investigations Report</t>
        </is>
      </c>
      <c r="F113" s="3" t="inlineStr">
        <is>
          <t>Figure 78 (Breaches by industry), p.78-79; Table 3, p.77 - calculated as (pattern breach count) / (industry total breaches). Cross-checked against stated combined top-3 = 85%; computed sum = 85.5% (gap +0.5pt) - good match.</t>
        </is>
      </c>
    </row>
    <row r="114">
      <c r="A114" s="3" t="inlineStr">
        <is>
          <t>Real Estate</t>
        </is>
      </c>
      <c r="B114" s="3" t="inlineStr">
        <is>
          <t>Miscellaneous Errors</t>
        </is>
      </c>
      <c r="C114" s="4" t="n">
        <v>0.1383</v>
      </c>
      <c r="D114" s="3" t="inlineStr">
        <is>
          <t>Proportion</t>
        </is>
      </c>
      <c r="E114" s="3" t="inlineStr">
        <is>
          <t>Verizon 2026 Data Breach Investigations Report</t>
        </is>
      </c>
      <c r="F114" s="3" t="inlineStr">
        <is>
          <t>Figure 78 (Breaches by industry), p.78-79; Table 3, p.77 - calculated as (pattern breach count) / (industry total breaches). Cross-checked against stated combined top-3 = 85%; computed sum = 85.5% (gap +0.5pt) - good match.</t>
        </is>
      </c>
    </row>
    <row r="115">
      <c r="A115" s="3" t="inlineStr">
        <is>
          <t>Real Estate</t>
        </is>
      </c>
      <c r="B115" s="3" t="inlineStr">
        <is>
          <t>Privilege Misuse</t>
        </is>
      </c>
      <c r="C115" s="4" t="n">
        <v>0.06809999999999999</v>
      </c>
      <c r="D115" s="3" t="inlineStr">
        <is>
          <t>Proportion</t>
        </is>
      </c>
      <c r="E115" s="3" t="inlineStr">
        <is>
          <t>Verizon 2026 Data Breach Investigations Report</t>
        </is>
      </c>
      <c r="F115" s="3" t="inlineStr">
        <is>
          <t>Figure 78 (Breaches by industry), p.78-79; Table 3, p.77 - calculated as (pattern breach count) / (industry total breaches). Cross-checked against stated combined top-3 = 85%; computed sum = 85.5% (gap +0.5pt) - good match.</t>
        </is>
      </c>
    </row>
    <row r="116">
      <c r="A116" s="3" t="inlineStr">
        <is>
          <t>Real Estate</t>
        </is>
      </c>
      <c r="B116" s="3" t="inlineStr">
        <is>
          <t>Everything Else</t>
        </is>
      </c>
      <c r="C116" s="4" t="n">
        <v>0.0441</v>
      </c>
      <c r="D116" s="3" t="inlineStr">
        <is>
          <t>Proportion</t>
        </is>
      </c>
      <c r="E116" s="3" t="inlineStr">
        <is>
          <t>Verizon 2026 Data Breach Investigations Report</t>
        </is>
      </c>
      <c r="F116" s="3" t="inlineStr">
        <is>
          <t>Figure 78 (Breaches by industry), p.78-79; Table 3, p.77 - calculated as (pattern breach count) / (industry total breaches). Cross-checked against stated combined top-3 = 85%; computed sum = 85.5% (gap +0.5pt) - good match.</t>
        </is>
      </c>
    </row>
    <row r="117">
      <c r="A117" s="3" t="inlineStr">
        <is>
          <t>Real Estate</t>
        </is>
      </c>
      <c r="B117" s="3" t="inlineStr">
        <is>
          <t>Denial of Service</t>
        </is>
      </c>
      <c r="C117" s="4" t="n">
        <v>0</v>
      </c>
      <c r="D117" s="3" t="inlineStr">
        <is>
          <t>Proportion</t>
        </is>
      </c>
      <c r="E117" s="3" t="inlineStr">
        <is>
          <t>Verizon 2026 Data Breach Investigations Report</t>
        </is>
      </c>
      <c r="F117" s="3" t="inlineStr">
        <is>
          <t>Figure 78 (Breaches by industry), p.78-79; Table 3, p.77 - calculated as (pattern breach count) / (industry total breaches). Cross-checked against stated combined top-3 = 85%; computed sum = 85.5% (gap +0.5pt) - good match.</t>
        </is>
      </c>
    </row>
    <row r="118">
      <c r="A118" s="3" t="inlineStr">
        <is>
          <t>Real Estate</t>
        </is>
      </c>
      <c r="B118" s="3" t="inlineStr">
        <is>
          <t>Lost and Stolen Assets</t>
        </is>
      </c>
      <c r="C118" s="4" t="n">
        <v>0.006</v>
      </c>
      <c r="D118" s="3" t="inlineStr">
        <is>
          <t>Proportion</t>
        </is>
      </c>
      <c r="E118" s="3" t="inlineStr">
        <is>
          <t>Verizon 2026 Data Breach Investigations Report</t>
        </is>
      </c>
      <c r="F118" s="3" t="inlineStr">
        <is>
          <t>Figure 78 (Breaches by industry), p.78-79; Table 3, p.77 - calculated as (pattern breach count) / (industry total breaches). Cross-checked against stated combined top-3 = 85%; computed sum = 85.5% (gap +0.5pt) - good match.</t>
        </is>
      </c>
    </row>
    <row r="119">
      <c r="A119" s="3" t="inlineStr">
        <is>
          <t>Retail</t>
        </is>
      </c>
      <c r="B119" s="3" t="inlineStr">
        <is>
          <t>System Intrusion</t>
        </is>
      </c>
      <c r="C119" s="4" t="n">
        <v>0.8176</v>
      </c>
      <c r="D119" s="3" t="inlineStr">
        <is>
          <t>Proportion</t>
        </is>
      </c>
      <c r="E119" s="3" t="inlineStr">
        <is>
          <t>Verizon 2026 Data Breach Investigations Report</t>
        </is>
      </c>
      <c r="F119"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0">
      <c r="A120" s="3" t="inlineStr">
        <is>
          <t>Retail</t>
        </is>
      </c>
      <c r="B120" s="3" t="inlineStr">
        <is>
          <t>Social Engineering</t>
        </is>
      </c>
      <c r="C120" s="4" t="n">
        <v>0.0968</v>
      </c>
      <c r="D120" s="3" t="inlineStr">
        <is>
          <t>Proportion</t>
        </is>
      </c>
      <c r="E120" s="3" t="inlineStr">
        <is>
          <t>Verizon 2026 Data Breach Investigations Report</t>
        </is>
      </c>
      <c r="F120"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1">
      <c r="A121" s="3" t="inlineStr">
        <is>
          <t>Retail</t>
        </is>
      </c>
      <c r="B121" s="3" t="inlineStr">
        <is>
          <t>Basic Web Application Attacks</t>
        </is>
      </c>
      <c r="C121" s="4" t="n">
        <v>0.1811</v>
      </c>
      <c r="D121" s="3" t="inlineStr">
        <is>
          <t>Proportion</t>
        </is>
      </c>
      <c r="E121" s="3" t="inlineStr">
        <is>
          <t>Verizon 2026 Data Breach Investigations Report</t>
        </is>
      </c>
      <c r="F121"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2">
      <c r="A122" s="3" t="inlineStr">
        <is>
          <t>Retail</t>
        </is>
      </c>
      <c r="B122" s="3" t="inlineStr">
        <is>
          <t>Miscellaneous Errors</t>
        </is>
      </c>
      <c r="C122" s="4" t="n">
        <v>0.0074</v>
      </c>
      <c r="D122" s="3" t="inlineStr">
        <is>
          <t>Proportion</t>
        </is>
      </c>
      <c r="E122" s="3" t="inlineStr">
        <is>
          <t>Verizon 2026 Data Breach Investigations Report</t>
        </is>
      </c>
      <c r="F122"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3">
      <c r="A123" s="3" t="inlineStr">
        <is>
          <t>Retail</t>
        </is>
      </c>
      <c r="B123" s="3" t="inlineStr">
        <is>
          <t>Privilege Misuse</t>
        </is>
      </c>
      <c r="C123" s="4" t="n">
        <v>0.0025</v>
      </c>
      <c r="D123" s="3" t="inlineStr">
        <is>
          <t>Proportion</t>
        </is>
      </c>
      <c r="E123" s="3" t="inlineStr">
        <is>
          <t>Verizon 2026 Data Breach Investigations Report</t>
        </is>
      </c>
      <c r="F123"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4">
      <c r="A124" s="3" t="inlineStr">
        <is>
          <t>Retail</t>
        </is>
      </c>
      <c r="B124" s="3" t="inlineStr">
        <is>
          <t>Everything Else</t>
        </is>
      </c>
      <c r="C124" s="4" t="n">
        <v>0.0385</v>
      </c>
      <c r="D124" s="3" t="inlineStr">
        <is>
          <t>Proportion</t>
        </is>
      </c>
      <c r="E124" s="3" t="inlineStr">
        <is>
          <t>Verizon 2026 Data Breach Investigations Report</t>
        </is>
      </c>
      <c r="F124"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5">
      <c r="A125" s="3" t="inlineStr">
        <is>
          <t>Retail</t>
        </is>
      </c>
      <c r="B125" s="3" t="inlineStr">
        <is>
          <t>Denial of Service</t>
        </is>
      </c>
      <c r="C125" s="4" t="n">
        <v>0</v>
      </c>
      <c r="D125" s="3" t="inlineStr">
        <is>
          <t>Proportion</t>
        </is>
      </c>
      <c r="E125" s="3" t="inlineStr">
        <is>
          <t>Verizon 2026 Data Breach Investigations Report</t>
        </is>
      </c>
      <c r="F125"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6">
      <c r="A126" s="3" t="inlineStr">
        <is>
          <t>Retail</t>
        </is>
      </c>
      <c r="B126" s="3" t="inlineStr">
        <is>
          <t>Lost and Stolen Assets</t>
        </is>
      </c>
      <c r="C126" s="4" t="n">
        <v>0</v>
      </c>
      <c r="D126" s="3" t="inlineStr">
        <is>
          <t>Proportion</t>
        </is>
      </c>
      <c r="E126" s="3" t="inlineStr">
        <is>
          <t>Verizon 2026 Data Breach Investigations Report</t>
        </is>
      </c>
      <c r="F126" s="3" t="inlineStr">
        <is>
          <t>Figure 78 (Breaches by industry), p.78-79; Table 3, p.77 - calculated as (pattern breach count) / (industry total breaches). CAUTION: cross-check against stated combined top-3 = 95% gives computed sum = 109.6% (gap +14.6pt) - largest discrepancy in this table, likely a cell-reading error in the dense source matrix or unusually high pattern overlap; treat these values as lower confidence pending re-verification.</t>
        </is>
      </c>
    </row>
    <row r="127">
      <c r="A127" s="3" t="inlineStr">
        <is>
          <t>Transportation</t>
        </is>
      </c>
      <c r="B127" s="3" t="inlineStr">
        <is>
          <t>System Intrusion</t>
        </is>
      </c>
      <c r="C127" s="4" t="n">
        <v>0.7009</v>
      </c>
      <c r="D127" s="3" t="inlineStr">
        <is>
          <t>Proportion</t>
        </is>
      </c>
      <c r="E127" s="3" t="inlineStr">
        <is>
          <t>Verizon 2026 Data Breach Investigations Report</t>
        </is>
      </c>
      <c r="F127"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28">
      <c r="A128" s="3" t="inlineStr">
        <is>
          <t>Transportation</t>
        </is>
      </c>
      <c r="B128" s="3" t="inlineStr">
        <is>
          <t>Social Engineering</t>
        </is>
      </c>
      <c r="C128" s="4" t="n">
        <v>0.1089</v>
      </c>
      <c r="D128" s="3" t="inlineStr">
        <is>
          <t>Proportion</t>
        </is>
      </c>
      <c r="E128" s="3" t="inlineStr">
        <is>
          <t>Verizon 2026 Data Breach Investigations Report</t>
        </is>
      </c>
      <c r="F128"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29">
      <c r="A129" s="3" t="inlineStr">
        <is>
          <t>Transportation</t>
        </is>
      </c>
      <c r="B129" s="3" t="inlineStr">
        <is>
          <t>Basic Web Application Attacks</t>
        </is>
      </c>
      <c r="C129" s="4" t="n">
        <v>0.1503</v>
      </c>
      <c r="D129" s="3" t="inlineStr">
        <is>
          <t>Proportion</t>
        </is>
      </c>
      <c r="E129" s="3" t="inlineStr">
        <is>
          <t>Verizon 2026 Data Breach Investigations Report</t>
        </is>
      </c>
      <c r="F129"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30">
      <c r="A130" s="3" t="inlineStr">
        <is>
          <t>Transportation</t>
        </is>
      </c>
      <c r="B130" s="3" t="inlineStr">
        <is>
          <t>Miscellaneous Errors</t>
        </is>
      </c>
      <c r="C130" s="4" t="n">
        <v>0.0092</v>
      </c>
      <c r="D130" s="3" t="inlineStr">
        <is>
          <t>Proportion</t>
        </is>
      </c>
      <c r="E130" s="3" t="inlineStr">
        <is>
          <t>Verizon 2026 Data Breach Investigations Report</t>
        </is>
      </c>
      <c r="F130"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31">
      <c r="A131" s="3" t="inlineStr">
        <is>
          <t>Transportation</t>
        </is>
      </c>
      <c r="B131" s="3" t="inlineStr">
        <is>
          <t>Privilege Misuse</t>
        </is>
      </c>
      <c r="C131" s="4" t="n">
        <v>0</v>
      </c>
      <c r="D131" s="3" t="inlineStr">
        <is>
          <t>Proportion</t>
        </is>
      </c>
      <c r="E131" s="3" t="inlineStr">
        <is>
          <t>Verizon 2026 Data Breach Investigations Report</t>
        </is>
      </c>
      <c r="F131"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32">
      <c r="A132" s="3" t="inlineStr">
        <is>
          <t>Transportation</t>
        </is>
      </c>
      <c r="B132" s="3" t="inlineStr">
        <is>
          <t>Everything Else</t>
        </is>
      </c>
      <c r="C132" s="4" t="n">
        <v>0.1319</v>
      </c>
      <c r="D132" s="3" t="inlineStr">
        <is>
          <t>Proportion</t>
        </is>
      </c>
      <c r="E132" s="3" t="inlineStr">
        <is>
          <t>Verizon 2026 Data Breach Investigations Report</t>
        </is>
      </c>
      <c r="F132"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33">
      <c r="A133" s="3" t="inlineStr">
        <is>
          <t>Transportation</t>
        </is>
      </c>
      <c r="B133" s="3" t="inlineStr">
        <is>
          <t>Denial of Service</t>
        </is>
      </c>
      <c r="C133" s="4" t="n">
        <v>0</v>
      </c>
      <c r="D133" s="3" t="inlineStr">
        <is>
          <t>Proportion</t>
        </is>
      </c>
      <c r="E133" s="3" t="inlineStr">
        <is>
          <t>Verizon 2026 Data Breach Investigations Report</t>
        </is>
      </c>
      <c r="F133"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row r="134">
      <c r="A134" s="3" t="inlineStr">
        <is>
          <t>Transportation</t>
        </is>
      </c>
      <c r="B134" s="3" t="inlineStr">
        <is>
          <t>Lost and Stolen Assets</t>
        </is>
      </c>
      <c r="C134" s="4" t="n">
        <v>0.0031</v>
      </c>
      <c r="D134" s="3" t="inlineStr">
        <is>
          <t>Proportion</t>
        </is>
      </c>
      <c r="E134" s="3" t="inlineStr">
        <is>
          <t>Verizon 2026 Data Breach Investigations Report</t>
        </is>
      </c>
      <c r="F134" s="3" t="inlineStr">
        <is>
          <t>Figure 78 (Breaches by industry), p.78-79; Table 3, p.77 - calculated as (pattern breach count) / (industry total breaches). CAUTION: cross-check against stated combined top-3 = 89% gives computed sum = 98.3% (gap +9.3pt) - notable discrepancy; treat as lower confidence pending re-verification.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SSC_Rating</t>
        </is>
      </c>
      <c r="B1" t="inlineStr">
        <is>
          <t>Frequency_Multiplier</t>
        </is>
      </c>
      <c r="C1" t="inlineStr">
        <is>
          <t>Evidence</t>
        </is>
      </c>
      <c r="D1" t="inlineStr">
        <is>
          <t>Source_Report</t>
        </is>
      </c>
      <c r="E1" t="inlineStr">
        <is>
          <t>Notes</t>
        </is>
      </c>
    </row>
    <row r="2">
      <c r="A2" t="inlineStr">
        <is>
          <t>A</t>
        </is>
      </c>
      <c r="B2" t="n">
        <v>1</v>
      </c>
      <c r="C2" t="inlineStr">
        <is>
          <t>Baseline group - reference likelihood of breach set to 1x</t>
        </is>
      </c>
      <c r="D2" t="inlineStr">
        <is>
          <t>ssc등급.png (SecurityScorecard Validation slide)</t>
        </is>
      </c>
      <c r="E2" t="inlineStr">
        <is>
          <t>Reference/baseline grade. No independent cross-check source available beyond this single slide.</t>
        </is>
      </c>
    </row>
    <row r="3">
      <c r="A3" t="inlineStr">
        <is>
          <t>B</t>
        </is>
      </c>
      <c r="B3" t="n">
        <v>2.9</v>
      </c>
      <c r="C3" t="inlineStr">
        <is>
          <t>Companies with B rating are 2.9x more likely to incur a breach than A-rated companies</t>
        </is>
      </c>
      <c r="D3" t="inlineStr">
        <is>
          <t>ssc등급.png (SecurityScorecard Validation slide)</t>
        </is>
      </c>
      <c r="E3" t="inlineStr">
        <is>
          <t>Single-source figure; not independently verified against a second dataset.</t>
        </is>
      </c>
    </row>
    <row r="4">
      <c r="A4" t="inlineStr">
        <is>
          <t>C</t>
        </is>
      </c>
      <c r="B4" t="n">
        <v>5.4</v>
      </c>
      <c r="C4" t="inlineStr">
        <is>
          <t>Companies with C rating are 5.4x more likely to incur a breach than A-rated companies</t>
        </is>
      </c>
      <c r="D4" t="inlineStr">
        <is>
          <t>ssc등급.png (SecurityScorecard Validation slide)</t>
        </is>
      </c>
      <c r="E4" t="inlineStr">
        <is>
          <t>Single-source figure; not independently verified against a second dataset.</t>
        </is>
      </c>
    </row>
    <row r="5">
      <c r="A5" t="inlineStr">
        <is>
          <t>D</t>
        </is>
      </c>
      <c r="B5" t="n">
        <v>9.199999999999999</v>
      </c>
      <c r="C5" t="inlineStr">
        <is>
          <t>Companies with D rating are 9.2x more likely to incur a breach than A-rated companies</t>
        </is>
      </c>
      <c r="D5" t="inlineStr">
        <is>
          <t>ssc등급.png (SecurityScorecard Validation slide)</t>
        </is>
      </c>
      <c r="E5" t="inlineStr">
        <is>
          <t>Single-source figure; not independently verified against a second dataset.</t>
        </is>
      </c>
    </row>
    <row r="6">
      <c r="A6" t="inlineStr">
        <is>
          <t>F</t>
        </is>
      </c>
      <c r="B6" t="n">
        <v>13.8</v>
      </c>
      <c r="C6" t="inlineStr">
        <is>
          <t>Companies with F rating are 13.8x more likely to incur a breach than A-rated companies</t>
        </is>
      </c>
      <c r="D6" t="inlineStr">
        <is>
          <t>ssc등급.png (SecurityScorecard Validation slide)</t>
        </is>
      </c>
      <c r="E6" t="inlineStr">
        <is>
          <t>Single-source figure; not independently verified against a second dataset. Note: source chart has no separate E grade (skips directly from D to F, consistent with SecurityScorecard's standard A-F scale).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10" customWidth="1" min="5" max="5"/>
    <col width="26" customWidth="1" min="6" max="6"/>
    <col width="46" customWidth="1" min="7" max="7"/>
    <col width="26" customWidth="1" min="8" max="8"/>
    <col width="14" customWidth="1" min="9" max="9"/>
    <col width="60" customWidth="1" min="10" max="10"/>
  </cols>
  <sheetData>
    <row r="1">
      <c r="A1" s="1">
        <f>== TABLE A : Industry Severity ===</f>
        <v/>
      </c>
    </row>
    <row r="2">
      <c r="A2" s="2" t="inlineStr">
        <is>
          <t>Industry_ID</t>
        </is>
      </c>
      <c r="B2" s="2" t="inlineStr">
        <is>
          <t>Geometric_Mean</t>
        </is>
      </c>
      <c r="C2" s="2" t="inlineStr">
        <is>
          <t>Median</t>
        </is>
      </c>
      <c r="D2" s="2" t="inlineStr">
        <is>
          <t>P95</t>
        </is>
      </c>
      <c r="E2" s="2" t="inlineStr">
        <is>
          <t>Currency</t>
        </is>
      </c>
      <c r="F2" s="2" t="inlineStr">
        <is>
          <t>Source_Section</t>
        </is>
      </c>
      <c r="G2" s="2" t="n"/>
      <c r="H2" s="2" t="n"/>
      <c r="I2" s="2" t="n"/>
      <c r="J2" s="2" t="n"/>
    </row>
    <row r="3">
      <c r="A3" s="3" t="inlineStr">
        <is>
          <t>Administrative</t>
        </is>
      </c>
      <c r="B3" s="6" t="n">
        <v>318000</v>
      </c>
      <c r="C3" s="6" t="n">
        <v>529000</v>
      </c>
      <c r="D3" s="6" t="n">
        <v>31000000</v>
      </c>
      <c r="E3" s="3" t="inlineStr">
        <is>
          <t>USD</t>
        </is>
      </c>
      <c r="F3" s="3" t="inlineStr">
        <is>
          <t>Figure A3 (Appendix 3), p.35</t>
        </is>
      </c>
      <c r="G3" s="3" t="n"/>
      <c r="H3" s="3" t="n"/>
      <c r="I3" s="3" t="n"/>
      <c r="J3" s="3" t="n"/>
    </row>
    <row r="4">
      <c r="A4" s="3" t="inlineStr">
        <is>
          <t>Agriculture</t>
        </is>
      </c>
      <c r="B4" s="6" t="n">
        <v>1000000</v>
      </c>
      <c r="C4" s="6" t="n">
        <v>2000000</v>
      </c>
      <c r="D4" s="6" t="n">
        <v>3000000</v>
      </c>
      <c r="E4" s="3" t="inlineStr">
        <is>
          <t>USD</t>
        </is>
      </c>
      <c r="F4" s="3" t="inlineStr">
        <is>
          <t>Figure A3 (Appendix 3), p.35</t>
        </is>
      </c>
      <c r="G4" s="3" t="n"/>
      <c r="H4" s="3" t="n"/>
      <c r="I4" s="3" t="n"/>
      <c r="J4" s="3" t="n"/>
    </row>
    <row r="5">
      <c r="A5" s="3" t="inlineStr">
        <is>
          <t>Construction</t>
        </is>
      </c>
      <c r="B5" s="6" t="n">
        <v>164000</v>
      </c>
      <c r="C5" s="6" t="n">
        <v>189000</v>
      </c>
      <c r="D5" s="6" t="n">
        <v>5000000</v>
      </c>
      <c r="E5" s="3" t="inlineStr">
        <is>
          <t>USD</t>
        </is>
      </c>
      <c r="F5" s="3" t="inlineStr">
        <is>
          <t>Figure A3 (Appendix 3), p.35</t>
        </is>
      </c>
      <c r="G5" s="3" t="n"/>
      <c r="H5" s="3" t="n"/>
      <c r="I5" s="3" t="n"/>
      <c r="J5" s="3" t="n"/>
    </row>
    <row r="6">
      <c r="A6" s="3" t="inlineStr">
        <is>
          <t>Education</t>
        </is>
      </c>
      <c r="B6" s="6" t="n">
        <v>226000</v>
      </c>
      <c r="C6" s="6" t="n">
        <v>249000</v>
      </c>
      <c r="D6" s="6" t="n">
        <v>6000000</v>
      </c>
      <c r="E6" s="3" t="inlineStr">
        <is>
          <t>USD</t>
        </is>
      </c>
      <c r="F6" s="3" t="inlineStr">
        <is>
          <t>Figure A3 (Appendix 3), p.35</t>
        </is>
      </c>
      <c r="G6" s="3" t="n"/>
      <c r="H6" s="3" t="n"/>
      <c r="I6" s="3" t="n"/>
      <c r="J6" s="3" t="n"/>
    </row>
    <row r="7">
      <c r="A7" s="3" t="inlineStr">
        <is>
          <t>Entertainment</t>
        </is>
      </c>
      <c r="B7" s="6" t="n">
        <v>147000</v>
      </c>
      <c r="C7" s="6" t="n">
        <v>282000</v>
      </c>
      <c r="D7" s="6" t="n">
        <v>12000000</v>
      </c>
      <c r="E7" s="3" t="inlineStr">
        <is>
          <t>USD</t>
        </is>
      </c>
      <c r="F7" s="3" t="inlineStr">
        <is>
          <t>Figure A3 (Appendix 3), p.35</t>
        </is>
      </c>
      <c r="G7" s="3" t="n"/>
      <c r="H7" s="3" t="n"/>
      <c r="I7" s="3" t="n"/>
      <c r="J7" s="3" t="n"/>
    </row>
    <row r="8">
      <c r="A8" s="3" t="inlineStr">
        <is>
          <t>Financial</t>
        </is>
      </c>
      <c r="B8" s="6" t="n">
        <v>951000</v>
      </c>
      <c r="C8" s="6" t="n">
        <v>1000000</v>
      </c>
      <c r="D8" s="6" t="n">
        <v>194000000</v>
      </c>
      <c r="E8" s="3" t="inlineStr">
        <is>
          <t>USD</t>
        </is>
      </c>
      <c r="F8" s="3" t="inlineStr">
        <is>
          <t>Figure A3 (Appendix 3), p.35</t>
        </is>
      </c>
      <c r="G8" s="3" t="n"/>
      <c r="H8" s="3" t="n"/>
      <c r="I8" s="3" t="n"/>
      <c r="J8" s="3" t="n"/>
    </row>
    <row r="9">
      <c r="A9" s="3" t="inlineStr">
        <is>
          <t>Healthcare</t>
        </is>
      </c>
      <c r="B9" s="6" t="n">
        <v>524000</v>
      </c>
      <c r="C9" s="6" t="n">
        <v>557000</v>
      </c>
      <c r="D9" s="6" t="n">
        <v>14000000</v>
      </c>
      <c r="E9" s="3" t="inlineStr">
        <is>
          <t>USD</t>
        </is>
      </c>
      <c r="F9" s="3" t="inlineStr">
        <is>
          <t>Figure A3 (Appendix 3), p.35</t>
        </is>
      </c>
      <c r="G9" s="3" t="n"/>
      <c r="H9" s="3" t="n"/>
      <c r="I9" s="3" t="n"/>
      <c r="J9" s="3" t="n"/>
    </row>
    <row r="10">
      <c r="A10" s="3" t="inlineStr">
        <is>
          <t>Hospitality</t>
        </is>
      </c>
      <c r="B10" s="6" t="n">
        <v>687000</v>
      </c>
      <c r="C10" s="6" t="n">
        <v>600000</v>
      </c>
      <c r="D10" s="6" t="n">
        <v>62000000</v>
      </c>
      <c r="E10" s="3" t="inlineStr">
        <is>
          <t>USD</t>
        </is>
      </c>
      <c r="F10" s="3" t="inlineStr">
        <is>
          <t>Figure A3 (Appendix 3), p.35</t>
        </is>
      </c>
      <c r="G10" s="3" t="n"/>
      <c r="H10" s="3" t="n"/>
      <c r="I10" s="3" t="n"/>
      <c r="J10" s="3" t="n"/>
    </row>
    <row r="11">
      <c r="A11" s="3" t="inlineStr">
        <is>
          <t>Information</t>
        </is>
      </c>
      <c r="B11" s="6" t="n">
        <v>783000</v>
      </c>
      <c r="C11" s="6" t="n">
        <v>718000</v>
      </c>
      <c r="D11" s="6" t="n">
        <v>217000000</v>
      </c>
      <c r="E11" s="3" t="inlineStr">
        <is>
          <t>USD</t>
        </is>
      </c>
      <c r="F11" s="3" t="inlineStr">
        <is>
          <t>Figure A3 (Appendix 3), p.35</t>
        </is>
      </c>
      <c r="G11" s="3" t="n"/>
      <c r="H11" s="3" t="n"/>
      <c r="I11" s="3" t="n"/>
      <c r="J11" s="3" t="n"/>
    </row>
    <row r="12">
      <c r="A12" s="3" t="inlineStr">
        <is>
          <t>Management</t>
        </is>
      </c>
      <c r="B12" s="6" t="n">
        <v>343000</v>
      </c>
      <c r="C12" s="6" t="n">
        <v>332000</v>
      </c>
      <c r="D12" s="6" t="n">
        <v>140000000</v>
      </c>
      <c r="E12" s="3" t="inlineStr">
        <is>
          <t>USD</t>
        </is>
      </c>
      <c r="F12" s="3" t="inlineStr">
        <is>
          <t>Figure A3 (Appendix 3), p.35</t>
        </is>
      </c>
      <c r="G12" s="3" t="n"/>
      <c r="H12" s="3" t="n"/>
      <c r="I12" s="3" t="n"/>
      <c r="J12" s="3" t="n"/>
    </row>
    <row r="13">
      <c r="A13" s="3" t="inlineStr">
        <is>
          <t>Manufacturing</t>
        </is>
      </c>
      <c r="B13" s="6" t="n">
        <v>1000000</v>
      </c>
      <c r="C13" s="6" t="n">
        <v>1000000</v>
      </c>
      <c r="D13" s="6" t="n">
        <v>42000000</v>
      </c>
      <c r="E13" s="3" t="inlineStr">
        <is>
          <t>USD</t>
        </is>
      </c>
      <c r="F13" s="3" t="inlineStr">
        <is>
          <t>Figure A3 (Appendix 3), p.35</t>
        </is>
      </c>
      <c r="G13" s="3" t="n"/>
      <c r="H13" s="3" t="n"/>
      <c r="I13" s="3" t="n"/>
      <c r="J13" s="3" t="n"/>
    </row>
    <row r="14">
      <c r="A14" s="3" t="inlineStr">
        <is>
          <t>Mining</t>
        </is>
      </c>
      <c r="B14" s="6" t="n">
        <v>1000000</v>
      </c>
      <c r="C14" s="6" t="n">
        <v>1000000</v>
      </c>
      <c r="D14" s="6" t="n">
        <v>2000000</v>
      </c>
      <c r="E14" s="3" t="inlineStr">
        <is>
          <t>USD</t>
        </is>
      </c>
      <c r="F14" s="3" t="inlineStr">
        <is>
          <t>Figure A3 (Appendix 3), p.35</t>
        </is>
      </c>
      <c r="G14" s="3" t="n"/>
      <c r="H14" s="3" t="n"/>
      <c r="I14" s="3" t="n"/>
      <c r="J14" s="3" t="n"/>
    </row>
    <row r="15">
      <c r="A15" s="3" t="inlineStr">
        <is>
          <t>Other services</t>
        </is>
      </c>
      <c r="B15" s="6" t="n">
        <v>262000</v>
      </c>
      <c r="C15" s="6" t="n">
        <v>348000</v>
      </c>
      <c r="D15" s="6" t="n">
        <v>41000000</v>
      </c>
      <c r="E15" s="3" t="inlineStr">
        <is>
          <t>USD</t>
        </is>
      </c>
      <c r="F15" s="3" t="inlineStr">
        <is>
          <t>Figure A3 (Appendix 3), p.35</t>
        </is>
      </c>
      <c r="G15" s="3" t="n"/>
      <c r="H15" s="3" t="n"/>
      <c r="I15" s="3" t="n"/>
      <c r="J15" s="3" t="n"/>
    </row>
    <row r="16">
      <c r="A16" s="3" t="inlineStr">
        <is>
          <t>Professional</t>
        </is>
      </c>
      <c r="B16" s="6" t="n">
        <v>400000</v>
      </c>
      <c r="C16" s="6" t="n">
        <v>736000</v>
      </c>
      <c r="D16" s="6" t="n">
        <v>17000000</v>
      </c>
      <c r="E16" s="3" t="inlineStr">
        <is>
          <t>USD</t>
        </is>
      </c>
      <c r="F16" s="3" t="inlineStr">
        <is>
          <t>Figure A3 (Appendix 3), p.35</t>
        </is>
      </c>
      <c r="G16" s="3" t="n"/>
      <c r="H16" s="3" t="n"/>
      <c r="I16" s="3" t="n"/>
      <c r="J16" s="3" t="n"/>
    </row>
    <row r="17">
      <c r="A17" s="3" t="inlineStr">
        <is>
          <t>Public</t>
        </is>
      </c>
      <c r="B17" s="6" t="n">
        <v>234000</v>
      </c>
      <c r="C17" s="6" t="n">
        <v>214000</v>
      </c>
      <c r="D17" s="6" t="n">
        <v>18000000</v>
      </c>
      <c r="E17" s="3" t="inlineStr">
        <is>
          <t>USD</t>
        </is>
      </c>
      <c r="F17" s="3" t="inlineStr">
        <is>
          <t>Figure A3 (Appendix 3), p.35</t>
        </is>
      </c>
      <c r="G17" s="3" t="n"/>
      <c r="H17" s="3" t="n"/>
      <c r="I17" s="3" t="n"/>
      <c r="J17" s="3" t="n"/>
    </row>
    <row r="18">
      <c r="A18" s="3" t="inlineStr">
        <is>
          <t>Real Estate</t>
        </is>
      </c>
      <c r="B18" s="6" t="n">
        <v>244000</v>
      </c>
      <c r="C18" s="6" t="n">
        <v>236000</v>
      </c>
      <c r="D18" s="6" t="n">
        <v>2000000</v>
      </c>
      <c r="E18" s="3" t="inlineStr">
        <is>
          <t>USD</t>
        </is>
      </c>
      <c r="F18" s="3" t="inlineStr">
        <is>
          <t>Figure A3 (Appendix 3), p.35</t>
        </is>
      </c>
      <c r="G18" s="3" t="n"/>
      <c r="H18" s="3" t="n"/>
      <c r="I18" s="3" t="n"/>
      <c r="J18" s="3" t="n"/>
    </row>
    <row r="19">
      <c r="A19" s="3" t="inlineStr">
        <is>
          <t>Retail</t>
        </is>
      </c>
      <c r="B19" s="6" t="n">
        <v>872000</v>
      </c>
      <c r="C19" s="6" t="n">
        <v>746000</v>
      </c>
      <c r="D19" s="6" t="n">
        <v>45000000</v>
      </c>
      <c r="E19" s="3" t="inlineStr">
        <is>
          <t>USD</t>
        </is>
      </c>
      <c r="F19" s="3" t="inlineStr">
        <is>
          <t>Figure A3 (Appendix 3), p.35</t>
        </is>
      </c>
      <c r="G19" s="3" t="n"/>
      <c r="H19" s="3" t="n"/>
      <c r="I19" s="3" t="n"/>
      <c r="J19" s="3" t="n"/>
    </row>
    <row r="20">
      <c r="A20" s="3" t="inlineStr">
        <is>
          <t>Trade</t>
        </is>
      </c>
      <c r="B20" s="6" t="n">
        <v>902000</v>
      </c>
      <c r="C20" s="6" t="n">
        <v>1000000</v>
      </c>
      <c r="D20" s="6" t="n">
        <v>23000000</v>
      </c>
      <c r="E20" s="3" t="inlineStr">
        <is>
          <t>USD</t>
        </is>
      </c>
      <c r="F20" s="3" t="inlineStr">
        <is>
          <t>Figure A3 (Appendix 3), p.35</t>
        </is>
      </c>
      <c r="G20" s="3" t="n"/>
      <c r="H20" s="3" t="n"/>
      <c r="I20" s="3" t="n"/>
      <c r="J20" s="3" t="n"/>
    </row>
    <row r="21">
      <c r="A21" s="3" t="inlineStr">
        <is>
          <t>Transportation</t>
        </is>
      </c>
      <c r="B21" s="6" t="n">
        <v>286000</v>
      </c>
      <c r="C21" s="6" t="n">
        <v>490000</v>
      </c>
      <c r="D21" s="6" t="n">
        <v>23000000</v>
      </c>
      <c r="E21" s="3" t="inlineStr">
        <is>
          <t>USD</t>
        </is>
      </c>
      <c r="F21" s="3" t="inlineStr">
        <is>
          <t>Figure A3 (Appendix 3), p.35</t>
        </is>
      </c>
      <c r="G21" s="3" t="n"/>
      <c r="H21" s="3" t="n"/>
      <c r="I21" s="3" t="n"/>
      <c r="J21" s="3" t="n"/>
    </row>
    <row r="22">
      <c r="A22" s="3" t="inlineStr">
        <is>
          <t>Utilities</t>
        </is>
      </c>
      <c r="B22" s="6" t="n">
        <v>113000</v>
      </c>
      <c r="C22" s="6" t="n">
        <v>146000</v>
      </c>
      <c r="D22" s="6" t="n">
        <v>3000000</v>
      </c>
      <c r="E22" s="3" t="inlineStr">
        <is>
          <t>USD</t>
        </is>
      </c>
      <c r="F22" s="3" t="inlineStr">
        <is>
          <t>Figure A3 (Appendix 3), p.35</t>
        </is>
      </c>
      <c r="G22" s="3" t="n"/>
      <c r="H22" s="3" t="n"/>
      <c r="I22" s="3" t="n"/>
      <c r="J22" s="3" t="n"/>
    </row>
    <row r="24">
      <c r="A24" s="1">
        <f>== TABLE B : Revenue Severity ===</f>
        <v/>
      </c>
    </row>
    <row r="25">
      <c r="A25" s="2" t="inlineStr">
        <is>
          <t>Revenue_Class</t>
        </is>
      </c>
      <c r="B25" s="2" t="inlineStr">
        <is>
          <t>Typical_Loss</t>
        </is>
      </c>
      <c r="C25" s="2" t="inlineStr">
        <is>
          <t>Extreme_Loss</t>
        </is>
      </c>
      <c r="D25" s="2" t="inlineStr">
        <is>
          <t>Currency</t>
        </is>
      </c>
      <c r="E25" s="2" t="inlineStr">
        <is>
          <t>Source_Section</t>
        </is>
      </c>
      <c r="F25" s="2" t="n"/>
      <c r="G25" s="2" t="n"/>
      <c r="H25" s="2" t="n"/>
      <c r="I25" s="2" t="n"/>
    </row>
    <row r="26">
      <c r="A26" s="3" t="inlineStr">
        <is>
          <t>Less than $10M</t>
        </is>
      </c>
      <c r="B26" s="6" t="n">
        <v>2000000</v>
      </c>
      <c r="C26" s="6" t="n">
        <v>62000000</v>
      </c>
      <c r="D26" s="3" t="inlineStr">
        <is>
          <t>USD</t>
        </is>
      </c>
      <c r="E26" s="3" t="inlineStr">
        <is>
          <t>Figure A4 (Appendix 3), p.35</t>
        </is>
      </c>
      <c r="F26" s="3" t="n"/>
      <c r="G26" s="3" t="n"/>
      <c r="H26" s="3" t="n"/>
      <c r="I26" s="3" t="n"/>
    </row>
    <row r="27">
      <c r="A27" s="3" t="inlineStr">
        <is>
          <t>$10M to $100M</t>
        </is>
      </c>
      <c r="B27" s="6" t="n">
        <v>6000000</v>
      </c>
      <c r="C27" s="6" t="n">
        <v>259000000</v>
      </c>
      <c r="D27" s="3" t="inlineStr">
        <is>
          <t>USD</t>
        </is>
      </c>
      <c r="E27" s="3" t="inlineStr">
        <is>
          <t>Figure A4 (Appendix 3), p.35</t>
        </is>
      </c>
      <c r="F27" s="3" t="n"/>
      <c r="G27" s="3" t="n"/>
      <c r="H27" s="3" t="n"/>
      <c r="I27" s="3" t="n"/>
    </row>
    <row r="28">
      <c r="A28" s="3" t="inlineStr">
        <is>
          <t>$100M to $1B</t>
        </is>
      </c>
      <c r="B28" s="6" t="n">
        <v>467000</v>
      </c>
      <c r="C28" s="6" t="n">
        <v>12000000</v>
      </c>
      <c r="D28" s="3" t="inlineStr">
        <is>
          <t>USD</t>
        </is>
      </c>
      <c r="E28" s="3" t="inlineStr">
        <is>
          <t>Figure A4 (Appendix 3), p.35</t>
        </is>
      </c>
      <c r="F28" s="3" t="n"/>
      <c r="G28" s="3" t="n"/>
      <c r="H28" s="3" t="n"/>
      <c r="I28" s="3" t="n"/>
    </row>
    <row r="29">
      <c r="A29" s="3" t="inlineStr">
        <is>
          <t>$1B to $10B</t>
        </is>
      </c>
      <c r="B29" s="6" t="n">
        <v>403000</v>
      </c>
      <c r="C29" s="6" t="n">
        <v>10000000</v>
      </c>
      <c r="D29" s="3" t="inlineStr">
        <is>
          <t>USD</t>
        </is>
      </c>
      <c r="E29" s="3" t="inlineStr">
        <is>
          <t>Figure A4 (Appendix 3), p.35</t>
        </is>
      </c>
      <c r="F29" s="3" t="n"/>
      <c r="G29" s="3" t="n"/>
      <c r="H29" s="3" t="n"/>
      <c r="I29" s="3" t="n"/>
    </row>
    <row r="30">
      <c r="A30" s="3" t="inlineStr">
        <is>
          <t>$10B to $100B</t>
        </is>
      </c>
      <c r="B30" s="6" t="n">
        <v>329000</v>
      </c>
      <c r="C30" s="6" t="n">
        <v>7000000</v>
      </c>
      <c r="D30" s="3" t="inlineStr">
        <is>
          <t>USD</t>
        </is>
      </c>
      <c r="E30" s="3" t="inlineStr">
        <is>
          <t>Figure A4 (Appendix 3), p.35</t>
        </is>
      </c>
      <c r="F30" s="3" t="n"/>
      <c r="G30" s="3" t="n"/>
      <c r="H30" s="3" t="n"/>
      <c r="I30" s="3" t="n"/>
    </row>
    <row r="31">
      <c r="A31" s="3" t="inlineStr">
        <is>
          <t>More than $100B</t>
        </is>
      </c>
      <c r="B31" s="6" t="n">
        <v>2000000</v>
      </c>
      <c r="C31" s="6" t="n">
        <v>269000000</v>
      </c>
      <c r="D31" s="3" t="inlineStr">
        <is>
          <t>USD</t>
        </is>
      </c>
      <c r="E31" s="3" t="inlineStr">
        <is>
          <t>Figure A4 (Appendix 3), p.35</t>
        </is>
      </c>
      <c r="F31" s="3" t="n"/>
      <c r="G31" s="3" t="n"/>
      <c r="H31" s="3" t="n"/>
      <c r="I31"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6" customWidth="1" min="6" max="6"/>
    <col width="14" customWidth="1" min="7" max="7"/>
    <col width="10" customWidth="1" min="8" max="8"/>
    <col width="10" customWidth="1" min="9" max="9"/>
    <col width="20" customWidth="1" min="10" max="10"/>
    <col width="70" customWidth="1" min="11" max="11"/>
  </cols>
  <sheetData>
    <row r="1">
      <c r="A1" s="1">
        <f>== TABLE A : Sector Average Incident Cost - SMEs ===</f>
        <v/>
      </c>
    </row>
    <row r="2">
      <c r="A2" s="2" t="inlineStr">
        <is>
          <t>Industry_ID</t>
        </is>
      </c>
      <c r="B2" s="2" t="inlineStr">
        <is>
          <t>Claims</t>
        </is>
      </c>
      <c r="C2" s="2" t="inlineStr">
        <is>
          <t>Avg_Incident_Cost</t>
        </is>
      </c>
      <c r="D2" s="2" t="inlineStr">
        <is>
          <t>Max_Incident_Cost</t>
        </is>
      </c>
      <c r="E2" s="2" t="inlineStr">
        <is>
          <t>Currency</t>
        </is>
      </c>
      <c r="F2" s="2" t="inlineStr">
        <is>
          <t>Period</t>
        </is>
      </c>
      <c r="G2" s="2" t="inlineStr">
        <is>
          <t>Source_Section</t>
        </is>
      </c>
    </row>
    <row r="3">
      <c r="A3" s="3" t="inlineStr">
        <is>
          <t>Agriculture</t>
        </is>
      </c>
      <c r="B3" s="6" t="n">
        <v>55</v>
      </c>
      <c r="C3" s="6" t="n">
        <v>112000</v>
      </c>
      <c r="D3" s="6" t="n">
        <v>490000</v>
      </c>
      <c r="E3" s="3" t="inlineStr">
        <is>
          <t>USD</t>
        </is>
      </c>
      <c r="F3" s="3" t="inlineStr">
        <is>
          <t>2020-2024 (5-yr avg)</t>
        </is>
      </c>
      <c r="G3" s="3" t="inlineStr">
        <is>
          <t>Table 5 (Incident Cost by Sector - SMEs), p.54</t>
        </is>
      </c>
    </row>
    <row r="4">
      <c r="A4" s="3" t="inlineStr">
        <is>
          <t>Education</t>
        </is>
      </c>
      <c r="B4" s="6" t="n">
        <v>277</v>
      </c>
      <c r="C4" s="6" t="n">
        <v>172000</v>
      </c>
      <c r="D4" s="6" t="n">
        <v>12000000</v>
      </c>
      <c r="E4" s="3" t="inlineStr">
        <is>
          <t>USD</t>
        </is>
      </c>
      <c r="F4" s="3" t="inlineStr">
        <is>
          <t>2020-2024 (5-yr avg)</t>
        </is>
      </c>
      <c r="G4" s="3" t="inlineStr">
        <is>
          <t>Table 5 (Incident Cost by Sector - SMEs), p.54</t>
        </is>
      </c>
    </row>
    <row r="5">
      <c r="A5" s="3" t="inlineStr">
        <is>
          <t>Energy</t>
        </is>
      </c>
      <c r="B5" s="6" t="n">
        <v>62</v>
      </c>
      <c r="C5" s="6" t="n">
        <v>431000</v>
      </c>
      <c r="D5" s="6" t="n">
        <v>15000000</v>
      </c>
      <c r="E5" s="3" t="inlineStr">
        <is>
          <t>USD</t>
        </is>
      </c>
      <c r="F5" s="3" t="inlineStr">
        <is>
          <t>2020-2024 (5-yr avg)</t>
        </is>
      </c>
      <c r="G5" s="3" t="inlineStr">
        <is>
          <t>Table 5 (Incident Cost by Sector - SMEs), p.54</t>
        </is>
      </c>
    </row>
    <row r="6">
      <c r="A6" s="3" t="inlineStr">
        <is>
          <t>Entertainment</t>
        </is>
      </c>
      <c r="B6" s="6" t="n">
        <v>52</v>
      </c>
      <c r="C6" s="6" t="n">
        <v>318000</v>
      </c>
      <c r="D6" s="6" t="n">
        <v>2600000</v>
      </c>
      <c r="E6" s="3" t="inlineStr">
        <is>
          <t>USD</t>
        </is>
      </c>
      <c r="F6" s="3" t="inlineStr">
        <is>
          <t>2020-2024 (5-yr avg)</t>
        </is>
      </c>
      <c r="G6" s="3" t="inlineStr">
        <is>
          <t>Table 5 (Incident Cost by Sector - SMEs), p.54</t>
        </is>
      </c>
    </row>
    <row r="7">
      <c r="A7" s="3" t="inlineStr">
        <is>
          <t>Financial Services</t>
        </is>
      </c>
      <c r="B7" s="6" t="n">
        <v>579</v>
      </c>
      <c r="C7" s="6" t="n">
        <v>329000</v>
      </c>
      <c r="D7" s="6" t="n">
        <v>11500000</v>
      </c>
      <c r="E7" s="3" t="inlineStr">
        <is>
          <t>USD</t>
        </is>
      </c>
      <c r="F7" s="3" t="inlineStr">
        <is>
          <t>2020-2024 (5-yr avg)</t>
        </is>
      </c>
      <c r="G7" s="3" t="inlineStr">
        <is>
          <t>Table 5 (Incident Cost by Sector - SMEs), p.54</t>
        </is>
      </c>
    </row>
    <row r="8">
      <c r="A8" s="3" t="inlineStr">
        <is>
          <t>Gaming &amp; Casino</t>
        </is>
      </c>
      <c r="B8" s="6" t="n">
        <v>5</v>
      </c>
      <c r="C8" s="6" t="n">
        <v>1600000</v>
      </c>
      <c r="D8" s="6" t="n">
        <v>4300000</v>
      </c>
      <c r="E8" s="3" t="inlineStr">
        <is>
          <t>USD</t>
        </is>
      </c>
      <c r="F8" s="3" t="inlineStr">
        <is>
          <t>2020-2024 (5-yr avg)</t>
        </is>
      </c>
      <c r="G8" s="3" t="inlineStr">
        <is>
          <t>Table 5 (Incident Cost by Sector - SMEs), p.54</t>
        </is>
      </c>
    </row>
    <row r="9">
      <c r="A9" s="3" t="inlineStr">
        <is>
          <t>Healthcare</t>
        </is>
      </c>
      <c r="B9" s="6" t="n">
        <v>599</v>
      </c>
      <c r="C9" s="6" t="n">
        <v>566000</v>
      </c>
      <c r="D9" s="6" t="n">
        <v>105000000</v>
      </c>
      <c r="E9" s="3" t="inlineStr">
        <is>
          <t>USD</t>
        </is>
      </c>
      <c r="F9" s="3" t="inlineStr">
        <is>
          <t>2020-2024 (5-yr avg)</t>
        </is>
      </c>
      <c r="G9" s="3" t="inlineStr">
        <is>
          <t>Table 5 (Incident Cost by Sector - SMEs), p.54</t>
        </is>
      </c>
    </row>
    <row r="10">
      <c r="A10" s="3" t="inlineStr">
        <is>
          <t>Hospitality</t>
        </is>
      </c>
      <c r="B10" s="6" t="n">
        <v>119</v>
      </c>
      <c r="C10" s="6" t="n">
        <v>182000</v>
      </c>
      <c r="D10" s="6" t="n">
        <v>3200000</v>
      </c>
      <c r="E10" s="3" t="inlineStr">
        <is>
          <t>USD</t>
        </is>
      </c>
      <c r="F10" s="3" t="inlineStr">
        <is>
          <t>2020-2024 (5-yr avg)</t>
        </is>
      </c>
      <c r="G10" s="3" t="inlineStr">
        <is>
          <t>Table 5 (Incident Cost by Sector - SMEs), p.54</t>
        </is>
      </c>
    </row>
    <row r="11">
      <c r="A11" s="3" t="inlineStr">
        <is>
          <t>Manufacturing</t>
        </is>
      </c>
      <c r="B11" s="3" t="n">
        <v>773</v>
      </c>
      <c r="C11" s="6" t="n">
        <v>395000</v>
      </c>
      <c r="D11" s="6" t="n">
        <v>108000000</v>
      </c>
      <c r="E11" s="3" t="inlineStr">
        <is>
          <t>USD</t>
        </is>
      </c>
      <c r="F11" s="3" t="inlineStr">
        <is>
          <t>2020-2024 (5-yr avg)</t>
        </is>
      </c>
      <c r="G11" s="3" t="inlineStr">
        <is>
          <t>Table 5 (Incident Cost by Sector - SMEs), p.54</t>
        </is>
      </c>
    </row>
    <row r="12">
      <c r="A12" s="2" t="inlineStr">
        <is>
          <t>Media</t>
        </is>
      </c>
      <c r="B12" s="3" t="n">
        <v>57</v>
      </c>
      <c r="C12" s="6" t="n">
        <v>722000</v>
      </c>
      <c r="D12" s="6" t="n">
        <v>11000000</v>
      </c>
      <c r="E12" s="3" t="inlineStr">
        <is>
          <t>USD</t>
        </is>
      </c>
      <c r="F12" s="3" t="inlineStr">
        <is>
          <t>2020-2024 (5-yr avg)</t>
        </is>
      </c>
      <c r="G12" s="3" t="inlineStr">
        <is>
          <t>Table 5 (Incident Cost by Sector - SMEs), p.54</t>
        </is>
      </c>
    </row>
    <row r="13">
      <c r="A13" s="2" t="inlineStr">
        <is>
          <t>Nonprofit</t>
        </is>
      </c>
      <c r="B13" s="2" t="n">
        <v>370</v>
      </c>
      <c r="C13" s="7" t="n">
        <v>108000</v>
      </c>
      <c r="D13" s="7" t="n">
        <v>2900000</v>
      </c>
      <c r="E13" s="2" t="inlineStr">
        <is>
          <t>USD</t>
        </is>
      </c>
      <c r="F13" s="2" t="inlineStr">
        <is>
          <t>2020-2024 (5-yr avg)</t>
        </is>
      </c>
      <c r="G13" s="2" t="inlineStr">
        <is>
          <t>Table 5 (Incident Cost by Sector - SMEs), p.54</t>
        </is>
      </c>
      <c r="H13" s="2" t="n"/>
    </row>
    <row r="14">
      <c r="A14" s="3" t="inlineStr">
        <is>
          <t>Professional Services</t>
        </is>
      </c>
      <c r="B14" s="6" t="n">
        <v>1604</v>
      </c>
      <c r="C14" s="6" t="n">
        <v>271000</v>
      </c>
      <c r="D14" s="6" t="n">
        <v>30000000</v>
      </c>
      <c r="E14" s="6" t="inlineStr">
        <is>
          <t>USD</t>
        </is>
      </c>
      <c r="F14" s="3" t="inlineStr">
        <is>
          <t>2020-2024 (5-yr avg)</t>
        </is>
      </c>
      <c r="G14" s="3" t="inlineStr">
        <is>
          <t>Table 5 (Incident Cost by Sector - SMEs), p.54</t>
        </is>
      </c>
      <c r="H14" s="3" t="n"/>
    </row>
    <row r="15">
      <c r="A15" s="3" t="inlineStr">
        <is>
          <t>Public Entity</t>
        </is>
      </c>
      <c r="B15" s="6" t="n">
        <v>300</v>
      </c>
      <c r="C15" s="6" t="n">
        <v>180000</v>
      </c>
      <c r="D15" s="6" t="n">
        <v>4000000</v>
      </c>
      <c r="E15" s="6" t="inlineStr">
        <is>
          <t>USD</t>
        </is>
      </c>
      <c r="F15" s="3" t="inlineStr">
        <is>
          <t>2020-2024 (5-yr avg)</t>
        </is>
      </c>
      <c r="G15" s="3" t="inlineStr">
        <is>
          <t>Table 5 (Incident Cost by Sector - SMEs), p.54</t>
        </is>
      </c>
      <c r="H15" s="3" t="n"/>
    </row>
    <row r="16">
      <c r="A16" s="3" t="inlineStr">
        <is>
          <t>Restaurant</t>
        </is>
      </c>
      <c r="B16" s="3" t="n">
        <v>18</v>
      </c>
      <c r="C16" s="6" t="n">
        <v>646000</v>
      </c>
      <c r="D16" s="6" t="n">
        <v>5200000</v>
      </c>
      <c r="E16" s="3" t="inlineStr">
        <is>
          <t>USD</t>
        </is>
      </c>
      <c r="F16" s="3" t="inlineStr">
        <is>
          <t>2020-2024 (5-yr avg)</t>
        </is>
      </c>
      <c r="G16" s="3" t="inlineStr">
        <is>
          <t>Table 5 (Incident Cost by Sector - SMEs), p.54</t>
        </is>
      </c>
    </row>
    <row r="17">
      <c r="A17" s="2" t="inlineStr">
        <is>
          <t>Retail</t>
        </is>
      </c>
      <c r="B17" s="3" t="n">
        <v>623</v>
      </c>
      <c r="C17" s="6" t="n">
        <v>219000</v>
      </c>
      <c r="D17" s="6" t="n">
        <v>7500000</v>
      </c>
      <c r="E17" s="3" t="inlineStr">
        <is>
          <t>USD</t>
        </is>
      </c>
      <c r="F17" s="3" t="inlineStr">
        <is>
          <t>2020-2024 (5-yr avg)</t>
        </is>
      </c>
      <c r="G17" s="3" t="inlineStr">
        <is>
          <t>Table 5 (Incident Cost by Sector - SMEs), p.54</t>
        </is>
      </c>
    </row>
    <row r="18">
      <c r="A18" s="2" t="inlineStr">
        <is>
          <t>Technology</t>
        </is>
      </c>
      <c r="B18" s="2" t="n">
        <v>450</v>
      </c>
      <c r="C18" s="7" t="n">
        <v>876000</v>
      </c>
      <c r="D18" s="7" t="n">
        <v>26000000</v>
      </c>
      <c r="E18" s="2" t="inlineStr">
        <is>
          <t>USD</t>
        </is>
      </c>
      <c r="F18" s="2" t="inlineStr">
        <is>
          <t>2020-2024 (5-yr avg)</t>
        </is>
      </c>
      <c r="G18" s="2" t="inlineStr">
        <is>
          <t>Table 5 (Incident Cost by Sector - SMEs), p.54</t>
        </is>
      </c>
      <c r="H18" s="2" t="n"/>
    </row>
    <row r="19">
      <c r="A19" s="3" t="inlineStr">
        <is>
          <t>Telecommunications</t>
        </is>
      </c>
      <c r="B19" s="6" t="n">
        <v>21</v>
      </c>
      <c r="C19" s="6" t="n">
        <v>1600000</v>
      </c>
      <c r="D19" s="6" t="n">
        <v>8700000</v>
      </c>
      <c r="E19" s="3" t="inlineStr">
        <is>
          <t>USD</t>
        </is>
      </c>
      <c r="F19" s="3" t="inlineStr">
        <is>
          <t>2020-2024 (5-yr avg)</t>
        </is>
      </c>
      <c r="G19" s="3" t="inlineStr">
        <is>
          <t>Table 5 (Incident Cost by Sector - SMEs), p.54</t>
        </is>
      </c>
      <c r="H19" s="3" t="n"/>
    </row>
    <row r="20">
      <c r="A20" s="3" t="inlineStr">
        <is>
          <t>Transportation</t>
        </is>
      </c>
      <c r="B20" s="6" t="n">
        <v>142</v>
      </c>
      <c r="C20" s="6" t="n">
        <v>531000</v>
      </c>
      <c r="D20" s="6" t="n">
        <v>15000000</v>
      </c>
      <c r="E20" s="3" t="inlineStr">
        <is>
          <t>USD</t>
        </is>
      </c>
      <c r="F20" s="3" t="inlineStr">
        <is>
          <t>2020-2024 (5-yr avg)</t>
        </is>
      </c>
      <c r="G20" s="3" t="inlineStr">
        <is>
          <t>Table 5 (Incident Cost by Sector - SMEs), p.54</t>
        </is>
      </c>
      <c r="H20" s="3" t="n"/>
    </row>
    <row r="21">
      <c r="A21" s="3" t="inlineStr">
        <is>
          <t>Other</t>
        </is>
      </c>
      <c r="B21" s="6" t="n">
        <v>2828</v>
      </c>
      <c r="C21" s="6" t="n">
        <v>62000</v>
      </c>
      <c r="D21" s="6" t="n">
        <v>5200000</v>
      </c>
      <c r="E21" s="3" t="inlineStr">
        <is>
          <t>USD</t>
        </is>
      </c>
      <c r="F21" s="3" t="inlineStr">
        <is>
          <t>2020-2024 (5-yr avg)</t>
        </is>
      </c>
      <c r="G21" s="3" t="inlineStr">
        <is>
          <t>Table 5 (Incident Cost by Sector - SMEs), p.54</t>
        </is>
      </c>
      <c r="H21" s="3" t="n"/>
    </row>
    <row r="22">
      <c r="A22" s="3" t="inlineStr">
        <is>
          <t>Unknown</t>
        </is>
      </c>
      <c r="B22" s="6" t="n">
        <v>2</v>
      </c>
      <c r="C22" s="6" t="n">
        <v>566000</v>
      </c>
      <c r="D22" s="6" t="n">
        <v>1000000</v>
      </c>
      <c r="E22" s="3" t="inlineStr">
        <is>
          <t>USD</t>
        </is>
      </c>
      <c r="F22" s="3" t="inlineStr">
        <is>
          <t>2020-2024 (5-yr avg)</t>
        </is>
      </c>
      <c r="G22" s="3" t="inlineStr">
        <is>
          <t>Table 5 (Incident Cost by Sector - SMEs), p.54</t>
        </is>
      </c>
      <c r="H22" s="3" t="n"/>
    </row>
    <row r="23">
      <c r="A23" s="3" t="inlineStr">
        <is>
          <t>Construction</t>
        </is>
      </c>
      <c r="B23" s="3" t="n">
        <v>548</v>
      </c>
      <c r="C23" s="6" t="n">
        <v>118000</v>
      </c>
      <c r="D23" s="6" t="n">
        <v>1700000</v>
      </c>
      <c r="E23" s="3" t="inlineStr">
        <is>
          <t>USD</t>
        </is>
      </c>
      <c r="F23" s="3" t="inlineStr">
        <is>
          <t>2020-2024 (5-yr avg)</t>
        </is>
      </c>
      <c r="G23" s="3" t="inlineStr">
        <is>
          <t>Figure 47 (dedicated section), p.48 - NOTE: Construction is not one of the 19 standard sectors in Table 5; reported separately in the source</t>
        </is>
      </c>
    </row>
    <row r="25">
      <c r="A25" s="1">
        <f>== TABLE B : Sector Average Incident Cost - Large Companies ===</f>
        <v/>
      </c>
    </row>
    <row r="26">
      <c r="A26" s="2" t="inlineStr">
        <is>
          <t>Industry_ID</t>
        </is>
      </c>
      <c r="B26" s="2" t="inlineStr">
        <is>
          <t>Claims</t>
        </is>
      </c>
      <c r="C26" s="2" t="inlineStr">
        <is>
          <t>Avg_Incident_Cost</t>
        </is>
      </c>
      <c r="D26" s="2" t="inlineStr">
        <is>
          <t>Max_Incident_Cost</t>
        </is>
      </c>
      <c r="E26" s="2" t="inlineStr">
        <is>
          <t>Currency</t>
        </is>
      </c>
      <c r="F26" s="2" t="inlineStr">
        <is>
          <t>Period</t>
        </is>
      </c>
      <c r="G26" s="2" t="inlineStr">
        <is>
          <t>Source_Section</t>
        </is>
      </c>
    </row>
    <row r="27">
      <c r="A27" s="3" t="inlineStr">
        <is>
          <t>Agriculture</t>
        </is>
      </c>
      <c r="B27" s="3" t="n">
        <v>1</v>
      </c>
      <c r="C27" s="6" t="n">
        <v>5000000</v>
      </c>
      <c r="D27" s="6" t="n">
        <v>5000000</v>
      </c>
      <c r="E27" s="3" t="inlineStr">
        <is>
          <t>USD</t>
        </is>
      </c>
      <c r="F27" s="3" t="inlineStr">
        <is>
          <t>2020-2024 (5-yr avg)</t>
        </is>
      </c>
      <c r="G27" s="3" t="inlineStr">
        <is>
          <t>Table 7 (Incident Cost by Sector - Large Companies), p.56. CAUTION: many sectors have very small claim counts (N&lt;10); treat as low-reliability point estimates, not stable averages.</t>
        </is>
      </c>
    </row>
    <row r="28">
      <c r="A28" s="3" t="inlineStr">
        <is>
          <t>Education</t>
        </is>
      </c>
      <c r="B28" s="3" t="n">
        <v>5</v>
      </c>
      <c r="C28" s="6" t="n">
        <v>1100000</v>
      </c>
      <c r="D28" s="6" t="n">
        <v>2400000</v>
      </c>
      <c r="E28" s="3" t="inlineStr">
        <is>
          <t>USD</t>
        </is>
      </c>
      <c r="F28" s="3" t="inlineStr">
        <is>
          <t>2020-2024 (5-yr avg)</t>
        </is>
      </c>
      <c r="G28" s="3" t="inlineStr">
        <is>
          <t>Table 7 (Incident Cost by Sector - Large Companies), p.56. CAUTION: many sectors have very small claim counts (N&lt;10); treat as low-reliability point estimates, not stable averages.</t>
        </is>
      </c>
    </row>
    <row r="29">
      <c r="A29" s="3" t="inlineStr">
        <is>
          <t>Energy</t>
        </is>
      </c>
      <c r="B29" s="3" t="n">
        <v>4</v>
      </c>
      <c r="C29" s="6" t="n">
        <v>1900000</v>
      </c>
      <c r="D29" s="6" t="n">
        <v>5000000</v>
      </c>
      <c r="E29" s="3" t="inlineStr">
        <is>
          <t>USD</t>
        </is>
      </c>
      <c r="F29" s="3" t="inlineStr">
        <is>
          <t>2020-2024 (5-yr avg)</t>
        </is>
      </c>
      <c r="G29" s="3" t="inlineStr">
        <is>
          <t>Table 7 (Incident Cost by Sector - Large Companies), p.56. CAUTION: many sectors have very small claim counts (N&lt;10); treat as low-reliability point estimates, not stable averages.</t>
        </is>
      </c>
    </row>
    <row r="30">
      <c r="A30" s="3" t="inlineStr">
        <is>
          <t>Financial Services</t>
        </is>
      </c>
      <c r="B30" s="3" t="n">
        <v>91</v>
      </c>
      <c r="C30" s="6" t="n">
        <v>1700000</v>
      </c>
      <c r="D30" s="6" t="n">
        <v>50000000</v>
      </c>
      <c r="E30" s="3" t="inlineStr">
        <is>
          <t>USD</t>
        </is>
      </c>
      <c r="F30" s="3" t="inlineStr">
        <is>
          <t>2020-2024 (5-yr avg)</t>
        </is>
      </c>
      <c r="G30" s="3" t="inlineStr">
        <is>
          <t>Table 7 (Incident Cost by Sector - Large Companies), p.56. CAUTION: many sectors have very small claim counts (N&lt;10); treat as low-reliability point estimates, not stable averages.</t>
        </is>
      </c>
    </row>
    <row r="31">
      <c r="A31" s="3" t="inlineStr">
        <is>
          <t>Gaming &amp; Casino</t>
        </is>
      </c>
      <c r="B31" s="3" t="n">
        <v>2</v>
      </c>
      <c r="C31" s="6" t="n">
        <v>63300000</v>
      </c>
      <c r="D31" s="6" t="n">
        <v>100000000</v>
      </c>
      <c r="E31" s="3" t="inlineStr">
        <is>
          <t>USD</t>
        </is>
      </c>
      <c r="F31" s="3" t="inlineStr">
        <is>
          <t>2020-2024 (5-yr avg)</t>
        </is>
      </c>
      <c r="G31" s="3" t="inlineStr">
        <is>
          <t>Table 7 (Incident Cost by Sector - Large Companies), p.56. CAUTION: many sectors have very small claim counts (N&lt;10); treat as low-reliability point estimates, not stable averages.</t>
        </is>
      </c>
    </row>
    <row r="32">
      <c r="A32" s="3" t="inlineStr">
        <is>
          <t>Healthcare</t>
        </is>
      </c>
      <c r="B32" s="3" t="n">
        <v>37</v>
      </c>
      <c r="C32" s="6" t="n">
        <v>17900000</v>
      </c>
      <c r="D32" s="6" t="n">
        <v>165000000</v>
      </c>
      <c r="E32" s="3" t="inlineStr">
        <is>
          <t>USD</t>
        </is>
      </c>
      <c r="F32" s="3" t="inlineStr">
        <is>
          <t>2020-2024 (5-yr avg)</t>
        </is>
      </c>
      <c r="G32" s="3" t="inlineStr">
        <is>
          <t>Table 7 (Incident Cost by Sector - Large Companies), p.56. CAUTION: many sectors have very small claim counts (N&lt;10); treat as low-reliability point estimates, not stable averages.</t>
        </is>
      </c>
    </row>
    <row r="33">
      <c r="A33" s="3" t="inlineStr">
        <is>
          <t>Hospitality</t>
        </is>
      </c>
      <c r="B33" s="3" t="n">
        <v>1</v>
      </c>
      <c r="C33" s="6" t="n">
        <v>268000000</v>
      </c>
      <c r="D33" s="6" t="n">
        <v>268000000</v>
      </c>
      <c r="E33" s="3" t="inlineStr">
        <is>
          <t>USD</t>
        </is>
      </c>
      <c r="F33" s="3" t="inlineStr">
        <is>
          <t>2020-2024 (5-yr avg)</t>
        </is>
      </c>
      <c r="G33" s="3" t="inlineStr">
        <is>
          <t>Table 7 (Incident Cost by Sector - Large Companies), p.56. CAUTION: many sectors have very small claim counts (N&lt;10); treat as low-reliability point estimates, not stable averages.</t>
        </is>
      </c>
    </row>
    <row r="34">
      <c r="A34" s="3" t="inlineStr">
        <is>
          <t>Manufacturing</t>
        </is>
      </c>
      <c r="B34" s="3" t="n">
        <v>23</v>
      </c>
      <c r="C34" s="6" t="n">
        <v>8500000</v>
      </c>
      <c r="D34" s="6" t="n">
        <v>55000000</v>
      </c>
      <c r="E34" s="3" t="inlineStr">
        <is>
          <t>USD</t>
        </is>
      </c>
      <c r="F34" s="3" t="inlineStr">
        <is>
          <t>2020-2024 (5-yr avg)</t>
        </is>
      </c>
      <c r="G34" s="3" t="inlineStr">
        <is>
          <t>Table 7 (Incident Cost by Sector - Large Companies), p.56. CAUTION: many sectors have very small claim counts (N&lt;10); treat as low-reliability point estimates, not stable averages.</t>
        </is>
      </c>
    </row>
    <row r="35">
      <c r="A35" s="3" t="inlineStr">
        <is>
          <t>Nonprofit</t>
        </is>
      </c>
      <c r="B35" s="3" t="n">
        <v>1</v>
      </c>
      <c r="C35" s="6" t="n">
        <v>4000</v>
      </c>
      <c r="D35" s="6" t="n">
        <v>4000</v>
      </c>
      <c r="E35" s="3" t="inlineStr">
        <is>
          <t>USD</t>
        </is>
      </c>
      <c r="F35" s="3" t="inlineStr">
        <is>
          <t>2020-2024 (5-yr avg)</t>
        </is>
      </c>
      <c r="G35" s="3" t="inlineStr">
        <is>
          <t>Table 7 (Incident Cost by Sector - Large Companies), p.56. CAUTION: many sectors have very small claim counts (N&lt;10); treat as low-reliability point estimates, not stable averages.</t>
        </is>
      </c>
    </row>
    <row r="36">
      <c r="A36" s="3" t="inlineStr">
        <is>
          <t>Professional Services</t>
        </is>
      </c>
      <c r="B36" s="3" t="n">
        <v>13</v>
      </c>
      <c r="C36" s="6" t="n">
        <v>3300000</v>
      </c>
      <c r="D36" s="6" t="n">
        <v>13200000</v>
      </c>
      <c r="E36" s="3" t="inlineStr">
        <is>
          <t>USD</t>
        </is>
      </c>
      <c r="F36" s="3" t="inlineStr">
        <is>
          <t>2020-2024 (5-yr avg)</t>
        </is>
      </c>
      <c r="G36" s="3" t="inlineStr">
        <is>
          <t>Table 7 (Incident Cost by Sector - Large Companies), p.56. CAUTION: many sectors have very small claim counts (N&lt;10); treat as low-reliability point estimates, not stable averages.</t>
        </is>
      </c>
    </row>
    <row r="37">
      <c r="A37" s="3" t="inlineStr">
        <is>
          <t>Public Entity</t>
        </is>
      </c>
      <c r="B37" s="3" t="n">
        <v>2</v>
      </c>
      <c r="C37" s="6" t="n">
        <v>2800000</v>
      </c>
      <c r="D37" s="6" t="n">
        <v>5500000</v>
      </c>
      <c r="E37" s="3" t="inlineStr">
        <is>
          <t>USD</t>
        </is>
      </c>
      <c r="F37" s="3" t="inlineStr">
        <is>
          <t>2020-2024 (5-yr avg)</t>
        </is>
      </c>
      <c r="G37" s="3" t="inlineStr">
        <is>
          <t>Table 7 (Incident Cost by Sector - Large Companies), p.56. CAUTION: many sectors have very small claim counts (N&lt;10); treat as low-reliability point estimates, not stable averages.</t>
        </is>
      </c>
    </row>
    <row r="38">
      <c r="A38" s="3" t="inlineStr">
        <is>
          <t>Restaurant</t>
        </is>
      </c>
      <c r="B38" s="3" t="n">
        <v>2</v>
      </c>
      <c r="C38" s="6" t="n">
        <v>603000</v>
      </c>
      <c r="D38" s="6" t="n">
        <v>1200000</v>
      </c>
      <c r="E38" s="3" t="inlineStr">
        <is>
          <t>USD</t>
        </is>
      </c>
      <c r="F38" s="3" t="inlineStr">
        <is>
          <t>2020-2024 (5-yr avg)</t>
        </is>
      </c>
      <c r="G38" s="3" t="inlineStr">
        <is>
          <t>Table 7 (Incident Cost by Sector - Large Companies), p.56. CAUTION: many sectors have very small claim counts (N&lt;10); treat as low-reliability point estimates, not stable averages.</t>
        </is>
      </c>
    </row>
    <row r="39">
      <c r="A39" s="3" t="inlineStr">
        <is>
          <t>Retail</t>
        </is>
      </c>
      <c r="B39" s="3" t="n">
        <v>16</v>
      </c>
      <c r="C39" s="6" t="n">
        <v>12100000</v>
      </c>
      <c r="D39" s="6" t="n">
        <v>111000000</v>
      </c>
      <c r="E39" s="3" t="inlineStr">
        <is>
          <t>USD</t>
        </is>
      </c>
      <c r="F39" s="3" t="inlineStr">
        <is>
          <t>2020-2024 (5-yr avg)</t>
        </is>
      </c>
      <c r="G39" s="3" t="inlineStr">
        <is>
          <t>Table 7 (Incident Cost by Sector - Large Companies), p.56. CAUTION: many sectors have very small claim counts (N&lt;10); treat as low-reliability point estimates, not stable averages.</t>
        </is>
      </c>
    </row>
    <row r="40">
      <c r="A40" s="3" t="inlineStr">
        <is>
          <t>Technology</t>
        </is>
      </c>
      <c r="B40" s="3" t="n">
        <v>21</v>
      </c>
      <c r="C40" s="6" t="n">
        <v>8200000</v>
      </c>
      <c r="D40" s="6" t="n">
        <v>60000000</v>
      </c>
      <c r="E40" s="3" t="inlineStr">
        <is>
          <t>USD</t>
        </is>
      </c>
      <c r="F40" s="3" t="inlineStr">
        <is>
          <t>2020-2024 (5-yr avg)</t>
        </is>
      </c>
      <c r="G40" s="3" t="inlineStr">
        <is>
          <t>Table 7 (Incident Cost by Sector - Large Companies), p.56. CAUTION: many sectors have very small claim counts (N&lt;10); treat as low-reliability point estimates, not stable averages.</t>
        </is>
      </c>
    </row>
    <row r="41">
      <c r="A41" s="3" t="inlineStr">
        <is>
          <t>Telecommunications</t>
        </is>
      </c>
      <c r="B41" s="3" t="n">
        <v>1</v>
      </c>
      <c r="C41" s="6" t="n">
        <v>503500000</v>
      </c>
      <c r="D41" s="6" t="n">
        <v>503500000</v>
      </c>
      <c r="E41" s="3" t="inlineStr">
        <is>
          <t>USD</t>
        </is>
      </c>
      <c r="F41" s="3" t="inlineStr">
        <is>
          <t>2020-2024 (5-yr avg)</t>
        </is>
      </c>
      <c r="G41" s="3" t="inlineStr">
        <is>
          <t>Table 7 (Incident Cost by Sector - Large Companies), p.56. CAUTION: many sectors have very small claim counts (N&lt;10); treat as low-reliability point estimates, not stable averages.</t>
        </is>
      </c>
    </row>
    <row r="42">
      <c r="A42" s="3" t="inlineStr">
        <is>
          <t>Transportation</t>
        </is>
      </c>
      <c r="B42" s="3" t="n">
        <v>5</v>
      </c>
      <c r="C42" s="6" t="n">
        <v>351000</v>
      </c>
      <c r="D42" s="6" t="n">
        <v>598000</v>
      </c>
      <c r="E42" s="3" t="inlineStr">
        <is>
          <t>USD</t>
        </is>
      </c>
      <c r="F42" s="3" t="inlineStr">
        <is>
          <t>2020-2024 (5-yr avg)</t>
        </is>
      </c>
      <c r="G42" s="3" t="inlineStr">
        <is>
          <t>Table 7 (Incident Cost by Sector - Large Companies), p.56. CAUTION: many sectors have very small claim counts (N&lt;10); treat as low-reliability point estimates, not stable averages.</t>
        </is>
      </c>
    </row>
    <row r="43">
      <c r="A43" s="3" t="inlineStr">
        <is>
          <t>Other</t>
        </is>
      </c>
      <c r="B43" s="3" t="n">
        <v>10</v>
      </c>
      <c r="C43" s="6" t="n">
        <v>7400000</v>
      </c>
      <c r="D43" s="6" t="n">
        <v>65800000</v>
      </c>
      <c r="E43" s="3" t="inlineStr">
        <is>
          <t>USD</t>
        </is>
      </c>
      <c r="F43" s="3" t="inlineStr">
        <is>
          <t>2020-2024 (5-yr avg)</t>
        </is>
      </c>
      <c r="G43" s="3" t="inlineStr">
        <is>
          <t>Table 7 (Incident Cost by Sector - Large Companies), p.56. CAUTION: many sectors have very small claim counts (N&lt;10); treat as low-reliability point estimates, not stable averages.</t>
        </is>
      </c>
    </row>
    <row r="45">
      <c r="A45" s="1">
        <f>== TABLE C : Company Size Tier Comparison ===</f>
        <v/>
      </c>
    </row>
    <row r="46">
      <c r="A46" s="2" t="inlineStr">
        <is>
          <t>Tier</t>
        </is>
      </c>
      <c r="B46" s="2" t="inlineStr">
        <is>
          <t>Avg_Incident_Cost</t>
        </is>
      </c>
      <c r="C46" s="2" t="inlineStr">
        <is>
          <t>Avg_Crisis_Services_Cost</t>
        </is>
      </c>
      <c r="D46" s="2" t="inlineStr">
        <is>
          <t>N_Claims</t>
        </is>
      </c>
      <c r="E46" s="2" t="inlineStr">
        <is>
          <t>Avg_Org_Revenue</t>
        </is>
      </c>
      <c r="F46" s="2" t="inlineStr">
        <is>
          <t>Currency</t>
        </is>
      </c>
      <c r="G46" s="2" t="inlineStr">
        <is>
          <t>Period</t>
        </is>
      </c>
      <c r="H46" s="2" t="inlineStr">
        <is>
          <t>Source_Section</t>
        </is>
      </c>
    </row>
    <row r="47">
      <c r="A47" s="3" t="inlineStr">
        <is>
          <t>SME (&lt; $2B annual revenue)</t>
        </is>
      </c>
      <c r="B47" s="6" t="n">
        <v>264000</v>
      </c>
      <c r="C47" s="6" t="n">
        <v>152000</v>
      </c>
      <c r="D47" s="3" t="n">
        <v>8936</v>
      </c>
      <c r="E47" s="6" t="n">
        <v>108000000</v>
      </c>
      <c r="F47" s="3" t="inlineStr">
        <is>
          <t>USD</t>
        </is>
      </c>
      <c r="G47" s="3" t="inlineStr">
        <is>
          <t>2020-2024 (5-yr avg)</t>
        </is>
      </c>
      <c r="H47" s="3" t="inlineStr">
        <is>
          <t>Figure 1-2, p.2-4</t>
        </is>
      </c>
    </row>
    <row r="48">
      <c r="A48" s="3" t="inlineStr">
        <is>
          <t>Large Company (&gt;= $2B annual revenue)</t>
        </is>
      </c>
      <c r="B48" s="6" t="n">
        <v>10300000</v>
      </c>
      <c r="C48" s="6" t="n">
        <v>3000000</v>
      </c>
      <c r="D48" s="3" t="n">
        <v>235</v>
      </c>
      <c r="E48" s="6" t="n">
        <v>12500000000</v>
      </c>
      <c r="F48" s="3" t="inlineStr">
        <is>
          <t>USD</t>
        </is>
      </c>
      <c r="G48" s="3" t="inlineStr">
        <is>
          <t>2020-2024 (5-yr avg)</t>
        </is>
      </c>
      <c r="H48" s="3" t="inlineStr">
        <is>
          <t>Figure 1-2, p.2-4</t>
        </is>
      </c>
    </row>
    <row r="50">
      <c r="A50" s="1">
        <f>== TABLE D : Incident Cost by Revenue Size (all companies) ===</f>
        <v/>
      </c>
    </row>
    <row r="51">
      <c r="A51" s="2" t="inlineStr">
        <is>
          <t>Revenue_Tier</t>
        </is>
      </c>
      <c r="B51" s="2" t="inlineStr">
        <is>
          <t>Claims</t>
        </is>
      </c>
      <c r="C51" s="2" t="inlineStr">
        <is>
          <t>Avg_Incident_Cost</t>
        </is>
      </c>
      <c r="D51" s="2" t="inlineStr">
        <is>
          <t>Max_Incident_Cost</t>
        </is>
      </c>
      <c r="E51" s="2" t="inlineStr">
        <is>
          <t>Currency</t>
        </is>
      </c>
      <c r="F51" s="2" t="inlineStr">
        <is>
          <t>Period</t>
        </is>
      </c>
      <c r="G51" s="2" t="inlineStr">
        <is>
          <t>Source_Section</t>
        </is>
      </c>
    </row>
    <row r="52">
      <c r="A52" s="3" t="inlineStr">
        <is>
          <t>Nano-Rev (&lt;$50M)</t>
        </is>
      </c>
      <c r="B52" s="3" t="n">
        <v>4009</v>
      </c>
      <c r="C52" s="6" t="n">
        <v>142000</v>
      </c>
      <c r="D52" s="6" t="n">
        <v>10400000</v>
      </c>
      <c r="E52" s="3" t="inlineStr">
        <is>
          <t>USD</t>
        </is>
      </c>
      <c r="F52" s="3" t="inlineStr">
        <is>
          <t>2020-2024 (5-yr avg)</t>
        </is>
      </c>
      <c r="G52" s="3" t="inlineStr">
        <is>
          <t>Table 3 (Incident Cost by Revenue Size), p.52</t>
        </is>
      </c>
    </row>
    <row r="53">
      <c r="A53" s="3" t="inlineStr">
        <is>
          <t>Micro-Rev ($50M-$300M)</t>
        </is>
      </c>
      <c r="B53" s="3" t="n">
        <v>1775</v>
      </c>
      <c r="C53" s="6" t="n">
        <v>374000</v>
      </c>
      <c r="D53" s="6" t="n">
        <v>25000000</v>
      </c>
      <c r="E53" s="3" t="inlineStr">
        <is>
          <t>USD</t>
        </is>
      </c>
      <c r="F53" s="3" t="inlineStr">
        <is>
          <t>2020-2024 (5-yr avg)</t>
        </is>
      </c>
      <c r="G53" s="3" t="inlineStr">
        <is>
          <t>Table 3 (Incident Cost by Revenue Size), p.52</t>
        </is>
      </c>
    </row>
    <row r="54">
      <c r="A54" s="3" t="inlineStr">
        <is>
          <t>Small-Rev ($300M-$2B)</t>
        </is>
      </c>
      <c r="B54" s="3" t="n">
        <v>508</v>
      </c>
      <c r="C54" s="6" t="n">
        <v>2000000</v>
      </c>
      <c r="D54" s="6" t="n">
        <v>108000000</v>
      </c>
      <c r="E54" s="3" t="inlineStr">
        <is>
          <t>USD</t>
        </is>
      </c>
      <c r="F54" s="3" t="inlineStr">
        <is>
          <t>2020-2024 (5-yr avg)</t>
        </is>
      </c>
      <c r="G54" s="3" t="inlineStr">
        <is>
          <t>Table 3 (Incident Cost by Revenue Size), p.52</t>
        </is>
      </c>
    </row>
    <row r="55">
      <c r="A55" s="3" t="inlineStr">
        <is>
          <t>Mid-Rev ($2B-$10B)</t>
        </is>
      </c>
      <c r="B55" s="3" t="n">
        <v>187</v>
      </c>
      <c r="C55" s="6" t="n">
        <v>5100000</v>
      </c>
      <c r="D55" s="6" t="n">
        <v>268000000</v>
      </c>
      <c r="E55" s="3" t="inlineStr">
        <is>
          <t>USD</t>
        </is>
      </c>
      <c r="F55" s="3" t="inlineStr">
        <is>
          <t>2020-2024 (5-yr avg)</t>
        </is>
      </c>
      <c r="G55" s="3" t="inlineStr">
        <is>
          <t>Table 3 (Incident Cost by Revenue Size), p.52</t>
        </is>
      </c>
    </row>
    <row r="56">
      <c r="A56" s="3" t="inlineStr">
        <is>
          <t>Large-Rev ($10B-$100B)</t>
        </is>
      </c>
      <c r="B56" s="3" t="n">
        <v>43</v>
      </c>
      <c r="C56" s="6" t="n">
        <v>30500000</v>
      </c>
      <c r="D56" s="6" t="n">
        <v>503500000</v>
      </c>
      <c r="E56" s="3" t="inlineStr">
        <is>
          <t>USD</t>
        </is>
      </c>
      <c r="F56" s="3" t="inlineStr">
        <is>
          <t>2020-2024 (5-yr avg)</t>
        </is>
      </c>
      <c r="G56" s="3" t="inlineStr">
        <is>
          <t>Table 3 (Incident Cost by Revenue Size), p.52</t>
        </is>
      </c>
    </row>
    <row r="57">
      <c r="A57" s="3" t="inlineStr">
        <is>
          <t>Mega-Rev (&gt;$100B)</t>
        </is>
      </c>
      <c r="B57" s="3" t="n">
        <v>4</v>
      </c>
      <c r="C57" s="6" t="n">
        <v>38300000</v>
      </c>
      <c r="D57" s="6" t="n">
        <v>75000000</v>
      </c>
      <c r="E57" s="3" t="inlineStr">
        <is>
          <t>USD</t>
        </is>
      </c>
      <c r="F57" s="3" t="inlineStr">
        <is>
          <t>2020-2024 (5-yr avg)</t>
        </is>
      </c>
      <c r="G57" s="3" t="inlineStr">
        <is>
          <t>Table 3 (Incident Cost by Revenue Size), p.52</t>
        </is>
      </c>
    </row>
    <row r="59">
      <c r="A59" s="1">
        <f>== TABLE E : Incident Cost by Cause of Loss - SMEs (Claims &gt;= 10 only) ===</f>
        <v/>
      </c>
    </row>
    <row r="60">
      <c r="A60" s="2" t="inlineStr">
        <is>
          <t>Cause_of_Loss</t>
        </is>
      </c>
      <c r="B60" s="2" t="inlineStr">
        <is>
          <t>Claims</t>
        </is>
      </c>
      <c r="C60" s="2" t="inlineStr">
        <is>
          <t>Avg_Incident_Cost</t>
        </is>
      </c>
      <c r="D60" s="2" t="inlineStr">
        <is>
          <t>Max_Incident_Cost</t>
        </is>
      </c>
      <c r="E60" s="2" t="inlineStr">
        <is>
          <t>Avg_Crisis_Cost</t>
        </is>
      </c>
      <c r="F60" s="2" t="inlineStr">
        <is>
          <t>Currency</t>
        </is>
      </c>
      <c r="G60" s="2" t="inlineStr">
        <is>
          <t>Period</t>
        </is>
      </c>
      <c r="H60" s="2" t="inlineStr">
        <is>
          <t>Source_Section</t>
        </is>
      </c>
      <c r="I60" t="inlineStr">
        <is>
          <t>Min_Incident_Cost</t>
        </is>
      </c>
      <c r="J60" t="inlineStr">
        <is>
          <t>Total_Incident_Cost</t>
        </is>
      </c>
      <c r="K60" t="inlineStr">
        <is>
          <t>Pct_of_Total_Cost</t>
        </is>
      </c>
    </row>
    <row r="61">
      <c r="A61" s="3" t="inlineStr">
        <is>
          <t>Business Email Compromise</t>
        </is>
      </c>
      <c r="B61" s="3" t="n">
        <v>1864</v>
      </c>
      <c r="C61" s="6" t="n">
        <v>98000</v>
      </c>
      <c r="D61" s="6" t="n">
        <v>30000000</v>
      </c>
      <c r="E61" s="6" t="n">
        <v>71000</v>
      </c>
      <c r="F61" s="3" t="inlineStr">
        <is>
          <t>USD</t>
        </is>
      </c>
      <c r="G61" s="3" t="inlineStr">
        <is>
          <t>2020-2024 (5-yr avg)</t>
        </is>
      </c>
      <c r="H61"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1" t="n">
        <v>1000</v>
      </c>
      <c r="J61" t="n">
        <v>182100000</v>
      </c>
      <c r="K61" t="n">
        <v>0.077</v>
      </c>
    </row>
    <row r="62">
      <c r="A62" s="3" t="inlineStr">
        <is>
          <t>Cyber Event - Unspecified</t>
        </is>
      </c>
      <c r="B62" s="3" t="n">
        <v>810</v>
      </c>
      <c r="C62" s="6" t="n">
        <v>68000</v>
      </c>
      <c r="D62" s="6" t="n">
        <v>5000000</v>
      </c>
      <c r="E62" s="6" t="n">
        <v>59000</v>
      </c>
      <c r="F62" s="3" t="inlineStr">
        <is>
          <t>USD</t>
        </is>
      </c>
      <c r="G62" s="3" t="inlineStr">
        <is>
          <t>2020-2024 (5-yr avg)</t>
        </is>
      </c>
      <c r="H62"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2" t="n">
        <v>1000</v>
      </c>
      <c r="J62" t="n">
        <v>55300000</v>
      </c>
      <c r="K62" t="n">
        <v>0.023</v>
      </c>
    </row>
    <row r="63">
      <c r="A63" s="3" t="inlineStr">
        <is>
          <t>Hacker</t>
        </is>
      </c>
      <c r="B63" s="3" t="n">
        <v>1191</v>
      </c>
      <c r="C63" s="6" t="n">
        <v>135000</v>
      </c>
      <c r="D63" s="6" t="n">
        <v>22000000</v>
      </c>
      <c r="E63" s="6" t="n">
        <v>84000</v>
      </c>
      <c r="F63" s="3" t="inlineStr">
        <is>
          <t>USD</t>
        </is>
      </c>
      <c r="G63" s="3" t="inlineStr">
        <is>
          <t>2020-2024 (5-yr avg)</t>
        </is>
      </c>
      <c r="H63"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3" t="n">
        <v>1000</v>
      </c>
      <c r="J63" t="n">
        <v>161400000</v>
      </c>
      <c r="K63" t="n">
        <v>0.068</v>
      </c>
    </row>
    <row r="64">
      <c r="A64" s="3" t="inlineStr">
        <is>
          <t>Legal Action</t>
        </is>
      </c>
      <c r="B64" s="3" t="n">
        <v>51</v>
      </c>
      <c r="C64" s="6" t="n">
        <v>124000</v>
      </c>
      <c r="D64" s="6" t="n">
        <v>4200000</v>
      </c>
      <c r="E64" s="6" t="n">
        <v>58000</v>
      </c>
      <c r="F64" s="3" t="inlineStr">
        <is>
          <t>USD</t>
        </is>
      </c>
      <c r="G64" s="3" t="inlineStr">
        <is>
          <t>2020-2024 (5-yr avg)</t>
        </is>
      </c>
      <c r="H64"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4" t="n">
        <v>1000</v>
      </c>
      <c r="J64" t="n">
        <v>6300000</v>
      </c>
      <c r="K64" t="n">
        <v>0.003</v>
      </c>
    </row>
    <row r="65">
      <c r="A65" s="3" t="inlineStr">
        <is>
          <t>Lost/Stolen Laptop/Device</t>
        </is>
      </c>
      <c r="B65" s="3" t="n">
        <v>25</v>
      </c>
      <c r="C65" s="6" t="n">
        <v>44000</v>
      </c>
      <c r="D65" s="6" t="n">
        <v>341000</v>
      </c>
      <c r="E65" s="6" t="n">
        <v>41000</v>
      </c>
      <c r="F65" s="3" t="inlineStr">
        <is>
          <t>USD</t>
        </is>
      </c>
      <c r="G65" s="3" t="inlineStr">
        <is>
          <t>2020-2024 (5-yr avg)</t>
        </is>
      </c>
      <c r="H65"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5" t="n">
        <v>1000</v>
      </c>
      <c r="J65" t="n">
        <v>1100000</v>
      </c>
      <c r="K65" t="n">
        <v>0</v>
      </c>
    </row>
    <row r="66">
      <c r="A66" s="3" t="inlineStr">
        <is>
          <t>Malware/Virus</t>
        </is>
      </c>
      <c r="B66" s="3" t="n">
        <v>118</v>
      </c>
      <c r="C66" s="6" t="n">
        <v>77000</v>
      </c>
      <c r="D66" s="6" t="n">
        <v>1000000</v>
      </c>
      <c r="E66" s="6" t="n">
        <v>47000</v>
      </c>
      <c r="F66" s="3" t="inlineStr">
        <is>
          <t>USD</t>
        </is>
      </c>
      <c r="G66" s="3" t="inlineStr">
        <is>
          <t>2020-2024 (5-yr avg)</t>
        </is>
      </c>
      <c r="H66"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6" t="n">
        <v>4000</v>
      </c>
      <c r="J66" t="n">
        <v>9100000</v>
      </c>
      <c r="K66" t="n">
        <v>0.004</v>
      </c>
    </row>
    <row r="67">
      <c r="A67" s="3" t="inlineStr">
        <is>
          <t>Phishing</t>
        </is>
      </c>
      <c r="B67" s="3" t="n">
        <v>159</v>
      </c>
      <c r="C67" s="6" t="n">
        <v>56000</v>
      </c>
      <c r="D67" s="6" t="n">
        <v>489000</v>
      </c>
      <c r="E67" s="6" t="n">
        <v>31000</v>
      </c>
      <c r="F67" s="3" t="inlineStr">
        <is>
          <t>USD</t>
        </is>
      </c>
      <c r="G67" s="3" t="inlineStr">
        <is>
          <t>2020-2024 (5-yr avg)</t>
        </is>
      </c>
      <c r="H67"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7" t="n">
        <v>1000</v>
      </c>
      <c r="J67" t="n">
        <v>8900000</v>
      </c>
      <c r="K67" t="n">
        <v>0.004</v>
      </c>
    </row>
    <row r="68">
      <c r="A68" s="3" t="inlineStr">
        <is>
          <t>Ransomware</t>
        </is>
      </c>
      <c r="B68" s="3" t="n">
        <v>2571</v>
      </c>
      <c r="C68" s="6" t="n">
        <v>631000</v>
      </c>
      <c r="D68" s="6" t="n">
        <v>108000000</v>
      </c>
      <c r="E68" s="6" t="n">
        <v>293000</v>
      </c>
      <c r="F68" s="3" t="inlineStr">
        <is>
          <t>USD</t>
        </is>
      </c>
      <c r="G68" s="3" t="inlineStr">
        <is>
          <t>2020-2024 (5-yr avg)</t>
        </is>
      </c>
      <c r="H68"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8" t="n">
        <v>1000</v>
      </c>
      <c r="J68" t="n">
        <v>1600000000</v>
      </c>
      <c r="K68" t="n">
        <v>0.6879999999999999</v>
      </c>
    </row>
    <row r="69">
      <c r="A69" s="3" t="inlineStr">
        <is>
          <t>Rogue Employee</t>
        </is>
      </c>
      <c r="B69" s="3" t="n">
        <v>38</v>
      </c>
      <c r="C69" s="6" t="n">
        <v>71000</v>
      </c>
      <c r="D69" s="6" t="n">
        <v>403000</v>
      </c>
      <c r="E69" s="6" t="n">
        <v>48000</v>
      </c>
      <c r="F69" s="3" t="inlineStr">
        <is>
          <t>USD</t>
        </is>
      </c>
      <c r="G69" s="3" t="inlineStr">
        <is>
          <t>2020-2024 (5-yr avg)</t>
        </is>
      </c>
      <c r="H69"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69" t="n">
        <v>1000</v>
      </c>
      <c r="J69" t="n">
        <v>2700000</v>
      </c>
      <c r="K69" t="n">
        <v>0.001</v>
      </c>
    </row>
    <row r="70">
      <c r="A70" s="3" t="inlineStr">
        <is>
          <t>Staff Mistake</t>
        </is>
      </c>
      <c r="B70" s="3" t="n">
        <v>74</v>
      </c>
      <c r="C70" s="6" t="n">
        <v>84000</v>
      </c>
      <c r="D70" s="6" t="n">
        <v>1100000</v>
      </c>
      <c r="E70" s="6" t="n">
        <v>33000</v>
      </c>
      <c r="F70" s="3" t="inlineStr">
        <is>
          <t>USD</t>
        </is>
      </c>
      <c r="G70" s="3" t="inlineStr">
        <is>
          <t>2020-2024 (5-yr avg)</t>
        </is>
      </c>
      <c r="H70"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0" t="n">
        <v>1000</v>
      </c>
      <c r="J70" t="n">
        <v>6200000</v>
      </c>
      <c r="K70" t="n">
        <v>0.003</v>
      </c>
    </row>
    <row r="71">
      <c r="A71" s="3" t="inlineStr">
        <is>
          <t>System Glitch</t>
        </is>
      </c>
      <c r="B71" s="3" t="n">
        <v>18</v>
      </c>
      <c r="C71" s="6" t="n">
        <v>182000</v>
      </c>
      <c r="D71" s="6" t="n">
        <v>1000000</v>
      </c>
      <c r="E71" s="6" t="n">
        <v>35000</v>
      </c>
      <c r="F71" s="3" t="inlineStr">
        <is>
          <t>USD</t>
        </is>
      </c>
      <c r="G71" s="3" t="inlineStr">
        <is>
          <t>2020-2024 (5-yr avg)</t>
        </is>
      </c>
      <c r="H71"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1" t="n">
        <v>6000</v>
      </c>
      <c r="J71" t="n">
        <v>3300000</v>
      </c>
      <c r="K71" t="n">
        <v>0.001</v>
      </c>
    </row>
    <row r="72">
      <c r="A72" s="3" t="inlineStr">
        <is>
          <t>Theft of Hardware</t>
        </is>
      </c>
      <c r="B72" s="3" t="n">
        <v>13</v>
      </c>
      <c r="C72" s="6" t="n">
        <v>22000</v>
      </c>
      <c r="D72" s="6" t="n">
        <v>57000</v>
      </c>
      <c r="E72" s="6" t="n">
        <v>8000</v>
      </c>
      <c r="F72" s="3" t="inlineStr">
        <is>
          <t>USD</t>
        </is>
      </c>
      <c r="G72" s="3" t="inlineStr">
        <is>
          <t>2020-2024 (5-yr avg)</t>
        </is>
      </c>
      <c r="H72"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2" t="n">
        <v>5000</v>
      </c>
      <c r="J72" t="n">
        <v>291000</v>
      </c>
      <c r="K72" t="n">
        <v>0</v>
      </c>
    </row>
    <row r="73">
      <c r="A73" s="3" t="inlineStr">
        <is>
          <t>Theft of Money</t>
        </is>
      </c>
      <c r="B73" s="3" t="n">
        <v>834</v>
      </c>
      <c r="C73" s="6" t="n">
        <v>38000</v>
      </c>
      <c r="D73" s="6" t="n">
        <v>500000</v>
      </c>
      <c r="E73" s="6" t="n">
        <v>46000</v>
      </c>
      <c r="F73" s="3" t="inlineStr">
        <is>
          <t>USD</t>
        </is>
      </c>
      <c r="G73" s="3" t="inlineStr">
        <is>
          <t>2020-2024 (5-yr avg)</t>
        </is>
      </c>
      <c r="H73"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3" t="n">
        <v>1000</v>
      </c>
      <c r="J73" t="n">
        <v>32100000</v>
      </c>
      <c r="K73" t="n">
        <v>0.014</v>
      </c>
    </row>
    <row r="74">
      <c r="A74" s="3" t="inlineStr">
        <is>
          <t>Wire Transfer Fraud</t>
        </is>
      </c>
      <c r="B74" s="3" t="n">
        <v>260</v>
      </c>
      <c r="C74" s="6" t="n">
        <v>178000</v>
      </c>
      <c r="D74" s="6" t="n">
        <v>3800000</v>
      </c>
      <c r="E74" s="6" t="n">
        <v>52000</v>
      </c>
      <c r="F74" s="3" t="inlineStr">
        <is>
          <t>USD</t>
        </is>
      </c>
      <c r="G74" s="3" t="inlineStr">
        <is>
          <t>2020-2024 (5-yr avg)</t>
        </is>
      </c>
      <c r="H74"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4" t="n">
        <v>2000</v>
      </c>
      <c r="J74" t="n">
        <v>46300000</v>
      </c>
      <c r="K74" t="n">
        <v>0.02</v>
      </c>
    </row>
    <row r="75">
      <c r="A75" s="3" t="inlineStr">
        <is>
          <t>Wrongful Data Collection</t>
        </is>
      </c>
      <c r="B75" s="3" t="n">
        <v>13</v>
      </c>
      <c r="C75" s="6" t="n">
        <v>826000</v>
      </c>
      <c r="D75" s="6" t="n">
        <v>5100000</v>
      </c>
      <c r="E75" s="6" t="n">
        <v>21000</v>
      </c>
      <c r="F75" s="3" t="inlineStr">
        <is>
          <t>USD</t>
        </is>
      </c>
      <c r="G75" s="3" t="inlineStr">
        <is>
          <t>2020-2024 (5-yr avg)</t>
        </is>
      </c>
      <c r="H75"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5" t="n">
        <v>15000</v>
      </c>
      <c r="J75" t="n">
        <v>10700000</v>
      </c>
      <c r="K75" t="n">
        <v>0.005</v>
      </c>
    </row>
    <row r="76">
      <c r="A76" s="3" t="inlineStr">
        <is>
          <t>Other</t>
        </is>
      </c>
      <c r="B76" s="3" t="n">
        <v>873</v>
      </c>
      <c r="C76" s="6" t="n">
        <v>229000</v>
      </c>
      <c r="D76" s="6" t="n">
        <v>11000000</v>
      </c>
      <c r="E76" s="6" t="n">
        <v>72000</v>
      </c>
      <c r="F76" s="3" t="inlineStr">
        <is>
          <t>USD</t>
        </is>
      </c>
      <c r="G76" s="3" t="inlineStr">
        <is>
          <t>2020-2024 (5-yr avg)</t>
        </is>
      </c>
      <c r="H76" s="3" t="inlineStr">
        <is>
          <t>Table 9 (Incident Cost by Cause of Loss - SMEs), p.59 &amp; Table 10 (Crisis Services Cost by Cause of Loss - SMEs), p.60. Filtered to causes with &gt;=10 claims for reliability; 7 causes with N&lt;10 (Negligence, Paper Records, Privacy Breach, Programming Error, Social Engineering, Trademark/Copyright Infringement, Unknown) omitted.</t>
        </is>
      </c>
      <c r="I76" t="n">
        <v>1000</v>
      </c>
      <c r="J76" t="n">
        <v>199800000</v>
      </c>
      <c r="K76" t="n">
        <v>0.08500000000000001</v>
      </c>
    </row>
    <row r="78">
      <c r="A78" s="1">
        <f>== TABLE F : Incident Cost by Cause of Loss - Large Companies ===</f>
        <v/>
      </c>
    </row>
    <row r="79">
      <c r="A79" s="2" t="inlineStr">
        <is>
          <t>Cause_of_Loss</t>
        </is>
      </c>
      <c r="B79" s="2" t="inlineStr">
        <is>
          <t>Claims</t>
        </is>
      </c>
      <c r="C79" s="2" t="inlineStr">
        <is>
          <t>Avg_Incident_Cost</t>
        </is>
      </c>
      <c r="D79" s="2" t="inlineStr">
        <is>
          <t>Max_Incident_Cost</t>
        </is>
      </c>
      <c r="E79" s="2" t="inlineStr">
        <is>
          <t>Avg_Crisis_Cost</t>
        </is>
      </c>
      <c r="F79" s="2" t="inlineStr">
        <is>
          <t>Currency</t>
        </is>
      </c>
      <c r="G79" s="2" t="inlineStr">
        <is>
          <t>Period</t>
        </is>
      </c>
      <c r="H79" s="2" t="inlineStr">
        <is>
          <t>Source_Section</t>
        </is>
      </c>
    </row>
    <row r="80">
      <c r="A80" s="3" t="inlineStr">
        <is>
          <t>Business Email Compromise</t>
        </is>
      </c>
      <c r="B80" s="3" t="n">
        <v>9</v>
      </c>
      <c r="C80" s="6" t="n">
        <v>334000</v>
      </c>
      <c r="D80" s="6" t="n">
        <v>1200000</v>
      </c>
      <c r="E80" s="6" t="n">
        <v>247000</v>
      </c>
      <c r="F80" s="3" t="inlineStr">
        <is>
          <t>USD</t>
        </is>
      </c>
      <c r="G80" s="3" t="inlineStr">
        <is>
          <t>2020-2024 (5-yr avg)</t>
        </is>
      </c>
      <c r="H80" s="3" t="inlineStr">
        <is>
          <t>Table 11 (Incident Cost by Cause of Loss - Large Companies), p.61 &amp; Table 12 (Crisis Services Cost by Cause of Loss - Large Companies), p.62. CAUTION: most causes have N&lt;10 (several N=1-3); treat as illustrative, not statistically stable.</t>
        </is>
      </c>
    </row>
    <row r="81">
      <c r="A81" s="3" t="inlineStr">
        <is>
          <t>Cyber Event - Unspecified</t>
        </is>
      </c>
      <c r="B81" s="3" t="n">
        <v>2</v>
      </c>
      <c r="C81" s="6" t="n">
        <v>653000</v>
      </c>
      <c r="D81" s="6" t="n">
        <v>1100000</v>
      </c>
      <c r="E81" s="6" t="n"/>
      <c r="F81" s="3" t="inlineStr">
        <is>
          <t>USD</t>
        </is>
      </c>
      <c r="G81" s="3" t="inlineStr">
        <is>
          <t>2020-2024 (5-yr avg)</t>
        </is>
      </c>
      <c r="H81" s="3" t="inlineStr">
        <is>
          <t>Table 11 (Incident Cost by Cause of Loss - Large Companies), p.61 &amp; Table 12 (Crisis Services Cost by Cause of Loss - Large Companies), p.62. CAUTION: most causes have N&lt;10 (several N=1-3); treat as illustrative, not statistically stable.</t>
        </is>
      </c>
    </row>
    <row r="82">
      <c r="A82" s="3" t="inlineStr">
        <is>
          <t>Hacker</t>
        </is>
      </c>
      <c r="B82" s="3" t="n">
        <v>12</v>
      </c>
      <c r="C82" s="6" t="n">
        <v>3000000</v>
      </c>
      <c r="D82" s="6" t="n">
        <v>14500000</v>
      </c>
      <c r="E82" s="6" t="n">
        <v>1100000</v>
      </c>
      <c r="F82" s="3" t="inlineStr">
        <is>
          <t>USD</t>
        </is>
      </c>
      <c r="G82" s="3" t="inlineStr">
        <is>
          <t>2020-2024 (5-yr avg)</t>
        </is>
      </c>
      <c r="H82" s="3" t="inlineStr">
        <is>
          <t>Table 11 (Incident Cost by Cause of Loss - Large Companies), p.61 &amp; Table 12 (Crisis Services Cost by Cause of Loss - Large Companies), p.62. CAUTION: most causes have N&lt;10 (several N=1-3); treat as illustrative, not statistically stable.</t>
        </is>
      </c>
    </row>
    <row r="83">
      <c r="A83" s="3" t="inlineStr">
        <is>
          <t>Lost/Stolen Laptop/Device</t>
        </is>
      </c>
      <c r="B83" s="3" t="n">
        <v>1</v>
      </c>
      <c r="C83" s="6" t="n">
        <v>32000</v>
      </c>
      <c r="D83" s="6" t="n">
        <v>32000</v>
      </c>
      <c r="E83" s="6" t="n">
        <v>32000</v>
      </c>
      <c r="F83" s="3" t="inlineStr">
        <is>
          <t>USD</t>
        </is>
      </c>
      <c r="G83" s="3" t="inlineStr">
        <is>
          <t>2020-2024 (5-yr avg)</t>
        </is>
      </c>
      <c r="H83" s="3" t="inlineStr">
        <is>
          <t>Table 11 (Incident Cost by Cause of Loss - Large Companies), p.61 &amp; Table 12 (Crisis Services Cost by Cause of Loss - Large Companies), p.62. CAUTION: most causes have N&lt;10 (several N=1-3); treat as illustrative, not statistically stable.</t>
        </is>
      </c>
    </row>
    <row r="84">
      <c r="A84" s="3" t="inlineStr">
        <is>
          <t>Malware/Virus</t>
        </is>
      </c>
      <c r="B84" s="3" t="n">
        <v>6</v>
      </c>
      <c r="C84" s="6" t="n">
        <v>1100000</v>
      </c>
      <c r="D84" s="6" t="n">
        <v>5700000</v>
      </c>
      <c r="E84" s="6" t="n">
        <v>3000000</v>
      </c>
      <c r="F84" s="3" t="inlineStr">
        <is>
          <t>USD</t>
        </is>
      </c>
      <c r="G84" s="3" t="inlineStr">
        <is>
          <t>2020-2024 (5-yr avg)</t>
        </is>
      </c>
      <c r="H84" s="3" t="inlineStr">
        <is>
          <t>Table 11 (Incident Cost by Cause of Loss - Large Companies), p.61 &amp; Table 12 (Crisis Services Cost by Cause of Loss - Large Companies), p.62. CAUTION: most causes have N&lt;10 (several N=1-3); treat as illustrative, not statistically stable.</t>
        </is>
      </c>
    </row>
    <row r="85">
      <c r="A85" s="3" t="inlineStr">
        <is>
          <t>Privacy Breach</t>
        </is>
      </c>
      <c r="B85" s="3" t="n">
        <v>1</v>
      </c>
      <c r="C85" s="6" t="n">
        <v>8000</v>
      </c>
      <c r="D85" s="6" t="n">
        <v>8000</v>
      </c>
      <c r="E85" s="6" t="n"/>
      <c r="F85" s="3" t="inlineStr">
        <is>
          <t>USD</t>
        </is>
      </c>
      <c r="G85" s="3" t="inlineStr">
        <is>
          <t>2020-2024 (5-yr avg)</t>
        </is>
      </c>
      <c r="H85" s="3" t="inlineStr">
        <is>
          <t>Table 11 (Incident Cost by Cause of Loss - Large Companies), p.61 &amp; Table 12 (Crisis Services Cost by Cause of Loss - Large Companies), p.62. CAUTION: most causes have N&lt;10 (several N=1-3); treat as illustrative, not statistically stable.</t>
        </is>
      </c>
    </row>
    <row r="86">
      <c r="A86" s="3" t="inlineStr">
        <is>
          <t>Ransomware</t>
        </is>
      </c>
      <c r="B86" s="3" t="n">
        <v>104</v>
      </c>
      <c r="C86" s="6" t="n">
        <v>21100000</v>
      </c>
      <c r="D86" s="6" t="n">
        <v>503500000</v>
      </c>
      <c r="E86" s="6" t="n">
        <v>4800000</v>
      </c>
      <c r="F86" s="3" t="inlineStr">
        <is>
          <t>USD</t>
        </is>
      </c>
      <c r="G86" s="3" t="inlineStr">
        <is>
          <t>2020-2024 (5-yr avg)</t>
        </is>
      </c>
      <c r="H86" s="3" t="inlineStr">
        <is>
          <t>Table 11 (Incident Cost by Cause of Loss - Large Companies), p.61 &amp; Table 12 (Crisis Services Cost by Cause of Loss - Large Companies), p.62. CAUTION: most causes have N&lt;10 (several N=1-3); treat as illustrative, not statistically stable.</t>
        </is>
      </c>
    </row>
    <row r="87">
      <c r="A87" s="3" t="inlineStr">
        <is>
          <t>Rogue Employee</t>
        </is>
      </c>
      <c r="B87" s="3" t="n">
        <v>3</v>
      </c>
      <c r="C87" s="6" t="n">
        <v>7100000</v>
      </c>
      <c r="D87" s="6" t="n">
        <v>13200000</v>
      </c>
      <c r="E87" s="6" t="n">
        <v>5000000</v>
      </c>
      <c r="F87" s="3" t="inlineStr">
        <is>
          <t>USD</t>
        </is>
      </c>
      <c r="G87" s="3" t="inlineStr">
        <is>
          <t>2020-2024 (5-yr avg)</t>
        </is>
      </c>
      <c r="H87" s="3" t="inlineStr">
        <is>
          <t>Table 11 (Incident Cost by Cause of Loss - Large Companies), p.61 &amp; Table 12 (Crisis Services Cost by Cause of Loss - Large Companies), p.62. CAUTION: most causes have N&lt;10 (several N=1-3); treat as illustrative, not statistically stable.</t>
        </is>
      </c>
    </row>
    <row r="88">
      <c r="A88" s="3" t="inlineStr">
        <is>
          <t>Social Engineering</t>
        </is>
      </c>
      <c r="B88" s="3" t="n">
        <v>3</v>
      </c>
      <c r="C88" s="6" t="n">
        <v>27000</v>
      </c>
      <c r="D88" s="6" t="n">
        <v>39000</v>
      </c>
      <c r="E88" s="6" t="n"/>
      <c r="F88" s="3" t="inlineStr">
        <is>
          <t>USD</t>
        </is>
      </c>
      <c r="G88" s="3" t="inlineStr">
        <is>
          <t>2020-2024 (5-yr avg)</t>
        </is>
      </c>
      <c r="H88" s="3" t="inlineStr">
        <is>
          <t>Table 11 (Incident Cost by Cause of Loss - Large Companies), p.61 &amp; Table 12 (Crisis Services Cost by Cause of Loss - Large Companies), p.62. CAUTION: most causes have N&lt;10 (several N=1-3); treat as illustrative, not statistically stable.</t>
        </is>
      </c>
    </row>
    <row r="89">
      <c r="A89" s="3" t="inlineStr">
        <is>
          <t>Staff Mistake</t>
        </is>
      </c>
      <c r="B89" s="3" t="n">
        <v>18</v>
      </c>
      <c r="C89" s="6" t="n">
        <v>284000</v>
      </c>
      <c r="D89" s="6" t="n">
        <v>5000000</v>
      </c>
      <c r="E89" s="6" t="n">
        <v>284000</v>
      </c>
      <c r="F89" s="3" t="inlineStr">
        <is>
          <t>USD</t>
        </is>
      </c>
      <c r="G89" s="3" t="inlineStr">
        <is>
          <t>2020-2024 (5-yr avg)</t>
        </is>
      </c>
      <c r="H89" s="3" t="inlineStr">
        <is>
          <t>Table 11 (Incident Cost by Cause of Loss - Large Companies), p.61 &amp; Table 12 (Crisis Services Cost by Cause of Loss - Large Companies), p.62. CAUTION: most causes have N&lt;10 (several N=1-3); treat as illustrative, not statistically stable.</t>
        </is>
      </c>
    </row>
    <row r="90">
      <c r="A90" s="3" t="inlineStr">
        <is>
          <t>Theft of Money</t>
        </is>
      </c>
      <c r="B90" s="3" t="n">
        <v>3</v>
      </c>
      <c r="C90" s="6" t="n">
        <v>553000</v>
      </c>
      <c r="D90" s="6" t="n">
        <v>1200000</v>
      </c>
      <c r="E90" s="6" t="n">
        <v>736000</v>
      </c>
      <c r="F90" s="3" t="inlineStr">
        <is>
          <t>USD</t>
        </is>
      </c>
      <c r="G90" s="3" t="inlineStr">
        <is>
          <t>2020-2024 (5-yr avg)</t>
        </is>
      </c>
      <c r="H90" s="3" t="inlineStr">
        <is>
          <t>Table 11 (Incident Cost by Cause of Loss - Large Companies), p.61 &amp; Table 12 (Crisis Services Cost by Cause of Loss - Large Companies), p.62. CAUTION: most causes have N&lt;10 (several N=1-3); treat as illustrative, not statistically stable.</t>
        </is>
      </c>
    </row>
    <row r="91">
      <c r="A91" s="3" t="inlineStr">
        <is>
          <t>Third-Party Incident</t>
        </is>
      </c>
      <c r="B91" s="3" t="n">
        <v>1</v>
      </c>
      <c r="C91" s="6" t="n">
        <v>7500000</v>
      </c>
      <c r="D91" s="6" t="n">
        <v>7500000</v>
      </c>
      <c r="E91" s="6" t="n">
        <v>5000000</v>
      </c>
      <c r="F91" s="3" t="inlineStr">
        <is>
          <t>USD</t>
        </is>
      </c>
      <c r="G91" s="3" t="inlineStr">
        <is>
          <t>2020-2024 (5-yr avg)</t>
        </is>
      </c>
      <c r="H91" s="3" t="inlineStr">
        <is>
          <t>Table 11 (Incident Cost by Cause of Loss - Large Companies), p.61 &amp; Table 12 (Crisis Services Cost by Cause of Loss - Large Companies), p.62. CAUTION: most causes have N&lt;10 (several N=1-3); treat as illustrative, not statistically stable.</t>
        </is>
      </c>
    </row>
    <row r="92">
      <c r="A92" s="3" t="inlineStr">
        <is>
          <t>Unauthorized Access</t>
        </is>
      </c>
      <c r="B92" s="3" t="n">
        <v>33</v>
      </c>
      <c r="C92" s="6" t="n">
        <v>3100000</v>
      </c>
      <c r="D92" s="6" t="n">
        <v>101000000</v>
      </c>
      <c r="E92" s="6" t="n"/>
      <c r="F92" s="3" t="inlineStr">
        <is>
          <t>USD</t>
        </is>
      </c>
      <c r="G92" s="3" t="inlineStr">
        <is>
          <t>2020-2024 (5-yr avg)</t>
        </is>
      </c>
      <c r="H92" s="3" t="inlineStr">
        <is>
          <t>Table 11 (Incident Cost by Cause of Loss - Large Companies), p.61 &amp; Table 12 (Crisis Services Cost by Cause of Loss - Large Companies), p.62. CAUTION: most causes have N&lt;10 (several N=1-3); treat as illustrative, not statistically stable.</t>
        </is>
      </c>
    </row>
    <row r="93">
      <c r="A93" s="3" t="inlineStr">
        <is>
          <t>Wire Transfer Fraud</t>
        </is>
      </c>
      <c r="B93" s="3" t="n">
        <v>4</v>
      </c>
      <c r="C93" s="6" t="n">
        <v>644000</v>
      </c>
      <c r="D93" s="6" t="n">
        <v>1600000</v>
      </c>
      <c r="E93" s="6" t="n">
        <v>75000</v>
      </c>
      <c r="F93" s="3" t="inlineStr">
        <is>
          <t>USD</t>
        </is>
      </c>
      <c r="G93" s="3" t="inlineStr">
        <is>
          <t>2020-2024 (5-yr avg)</t>
        </is>
      </c>
      <c r="H93" s="3" t="inlineStr">
        <is>
          <t>Table 11 (Incident Cost by Cause of Loss - Large Companies), p.61 &amp; Table 12 (Crisis Services Cost by Cause of Loss - Large Companies), p.62. CAUTION: most causes have N&lt;10 (several N=1-3); treat as illustrative, not statistically stable.</t>
        </is>
      </c>
    </row>
    <row r="94">
      <c r="A94" s="3" t="inlineStr">
        <is>
          <t>Wrongful Data Collection</t>
        </is>
      </c>
      <c r="B94" s="3" t="n">
        <v>2</v>
      </c>
      <c r="C94" s="6" t="n">
        <v>505000</v>
      </c>
      <c r="D94" s="6" t="n">
        <v>1000000</v>
      </c>
      <c r="E94" s="6" t="n"/>
      <c r="F94" s="3" t="inlineStr">
        <is>
          <t>USD</t>
        </is>
      </c>
      <c r="G94" s="3" t="inlineStr">
        <is>
          <t>2020-2024 (5-yr avg)</t>
        </is>
      </c>
      <c r="H94" s="3" t="inlineStr">
        <is>
          <t>Table 11 (Incident Cost by Cause of Loss - Large Companies), p.61 &amp; Table 12 (Crisis Services Cost by Cause of Loss - Large Companies), p.62. CAUTION: most causes have N&lt;10 (several N=1-3); treat as illustrative, not statistically stable.</t>
        </is>
      </c>
    </row>
    <row r="95">
      <c r="A95" s="3" t="inlineStr">
        <is>
          <t>Other</t>
        </is>
      </c>
      <c r="B95" s="3" t="n">
        <v>33</v>
      </c>
      <c r="C95" s="6" t="n">
        <v>1100000</v>
      </c>
      <c r="D95" s="6" t="n">
        <v>12600000</v>
      </c>
      <c r="E95" s="6" t="n">
        <v>844000</v>
      </c>
      <c r="F95" s="3" t="inlineStr">
        <is>
          <t>USD</t>
        </is>
      </c>
      <c r="G95" s="3" t="inlineStr">
        <is>
          <t>2020-2024 (5-yr avg)</t>
        </is>
      </c>
      <c r="H95" s="3" t="inlineStr">
        <is>
          <t>Table 11 (Incident Cost by Cause of Loss - Large Companies), p.61 &amp; Table 12 (Crisis Services Cost by Cause of Loss - Large Companies), p.62. CAUTION: most causes have N&lt;10 (several N=1-3); treat as illustrative, not statistically stable.</t>
        </is>
      </c>
    </row>
    <row r="97">
      <c r="A97" s="1">
        <f>== TABLE G : Special Claim Categories (Ransomware / Business Interruption) ===</f>
        <v/>
      </c>
    </row>
    <row r="98">
      <c r="A98" s="2" t="inlineStr">
        <is>
          <t>Category</t>
        </is>
      </c>
      <c r="B98" s="2" t="inlineStr">
        <is>
          <t>Avg_Incident_Cost</t>
        </is>
      </c>
      <c r="C98" s="2" t="inlineStr">
        <is>
          <t>Avg_BI_Cost</t>
        </is>
      </c>
      <c r="D98" s="2" t="inlineStr">
        <is>
          <t>Avg_Crisis_Cost</t>
        </is>
      </c>
      <c r="E98" s="2" t="inlineStr">
        <is>
          <t>N_Claims</t>
        </is>
      </c>
      <c r="F98" s="2" t="inlineStr">
        <is>
          <t>Currency</t>
        </is>
      </c>
      <c r="G98" s="2" t="inlineStr">
        <is>
          <t>Period</t>
        </is>
      </c>
      <c r="H98" s="2" t="inlineStr">
        <is>
          <t>Source_Section</t>
        </is>
      </c>
    </row>
    <row r="99">
      <c r="A99" s="3" t="inlineStr">
        <is>
          <t>All Ransomware Claims (SME)</t>
        </is>
      </c>
      <c r="B99" s="6" t="n">
        <v>631000</v>
      </c>
      <c r="C99" s="6" t="n"/>
      <c r="D99" s="6" t="n"/>
      <c r="E99" s="3" t="n">
        <v>2571</v>
      </c>
      <c r="F99" s="3" t="inlineStr">
        <is>
          <t>USD</t>
        </is>
      </c>
      <c r="G99" s="3" t="inlineStr">
        <is>
          <t>2020-2024 (5-yr avg)</t>
        </is>
      </c>
      <c r="H99" s="3" t="inlineStr">
        <is>
          <t>Figure 32, p.33</t>
        </is>
      </c>
    </row>
    <row r="100">
      <c r="A100" s="3" t="inlineStr">
        <is>
          <t>Business Interruption Claims (SME)</t>
        </is>
      </c>
      <c r="B100" s="6" t="n">
        <v>1800000</v>
      </c>
      <c r="C100" s="6" t="n">
        <v>1200000</v>
      </c>
      <c r="D100" s="6" t="n">
        <v>297000</v>
      </c>
      <c r="E100" s="3" t="n">
        <v>316</v>
      </c>
      <c r="F100" s="3" t="inlineStr">
        <is>
          <t>USD</t>
        </is>
      </c>
      <c r="G100" s="3" t="inlineStr">
        <is>
          <t>2020-2024 (5-yr avg)</t>
        </is>
      </c>
      <c r="H100" s="3" t="inlineStr">
        <is>
          <t>Figure 3, p.3</t>
        </is>
      </c>
    </row>
    <row r="101">
      <c r="A101" s="3" t="inlineStr">
        <is>
          <t>Business Interruption Claims (Large Company)</t>
        </is>
      </c>
      <c r="B101" s="6" t="n">
        <v>36100000</v>
      </c>
      <c r="C101" s="6" t="n">
        <v>26000000</v>
      </c>
      <c r="D101" s="6" t="n">
        <v>3500000</v>
      </c>
      <c r="E101" s="3" t="n">
        <v>16</v>
      </c>
      <c r="F101" s="3" t="inlineStr">
        <is>
          <t>USD</t>
        </is>
      </c>
      <c r="G101" s="3" t="inlineStr">
        <is>
          <t>2020-2024 (5-yr avg)</t>
        </is>
      </c>
      <c r="H101" s="3" t="inlineStr">
        <is>
          <t>Figure 3, p.3</t>
        </is>
      </c>
    </row>
    <row r="102">
      <c r="A102" s="3" t="inlineStr">
        <is>
          <t>Ransomware Claims with BI (SME)</t>
        </is>
      </c>
      <c r="B102" s="6" t="n">
        <v>2100000</v>
      </c>
      <c r="C102" s="6" t="n">
        <v>1400000</v>
      </c>
      <c r="D102" s="6" t="n"/>
      <c r="E102" s="3" t="n"/>
      <c r="F102" s="3" t="inlineStr">
        <is>
          <t>USD</t>
        </is>
      </c>
      <c r="G102" s="3" t="inlineStr">
        <is>
          <t>2020-2024 (5-yr avg)</t>
        </is>
      </c>
      <c r="H102" s="3" t="inlineStr">
        <is>
          <t>Figure 18 &amp; p.17 text (81% of SME BI claims are ransomware)</t>
        </is>
      </c>
    </row>
    <row r="104">
      <c r="A104" s="1">
        <f>== TABLE H : Legal Costs ===</f>
        <v/>
      </c>
    </row>
    <row r="105">
      <c r="A105" s="2" t="inlineStr">
        <is>
          <t>Entity</t>
        </is>
      </c>
      <c r="B105" s="2" t="inlineStr">
        <is>
          <t>Legal_Damages_Settlement</t>
        </is>
      </c>
      <c r="C105" s="2" t="inlineStr">
        <is>
          <t>Legal_Damages_Defense</t>
        </is>
      </c>
      <c r="D105" s="2" t="inlineStr">
        <is>
          <t>Regulatory_Action_Fines</t>
        </is>
      </c>
      <c r="E105" s="2" t="inlineStr">
        <is>
          <t>Regulatory_Action_Defense</t>
        </is>
      </c>
      <c r="F105" s="2" t="inlineStr">
        <is>
          <t>Total_Legal_Cost</t>
        </is>
      </c>
      <c r="G105" s="2" t="inlineStr">
        <is>
          <t>Max_Legal_Cost</t>
        </is>
      </c>
      <c r="H105" s="2" t="inlineStr">
        <is>
          <t>N_Claims</t>
        </is>
      </c>
      <c r="I105" s="2" t="inlineStr">
        <is>
          <t>Currency</t>
        </is>
      </c>
      <c r="J105" s="2" t="inlineStr">
        <is>
          <t>Period</t>
        </is>
      </c>
      <c r="K105" s="2" t="inlineStr">
        <is>
          <t>Source_Section</t>
        </is>
      </c>
    </row>
    <row r="106">
      <c r="A106" s="3" t="inlineStr">
        <is>
          <t>SME (&lt; $2B revenue)</t>
        </is>
      </c>
      <c r="B106" s="6" t="n">
        <v>221000</v>
      </c>
      <c r="C106" s="6" t="n">
        <v>1100000</v>
      </c>
      <c r="D106" s="6" t="n">
        <v>86000</v>
      </c>
      <c r="E106" s="6" t="n">
        <v>1000</v>
      </c>
      <c r="F106" s="6" t="n">
        <v>1408000</v>
      </c>
      <c r="G106" s="3" t="n"/>
      <c r="H106" s="3" t="n">
        <v>203</v>
      </c>
      <c r="I106" s="3" t="inlineStr">
        <is>
          <t>USD</t>
        </is>
      </c>
      <c r="J106" s="3" t="inlineStr">
        <is>
          <t>2020-2024 (5-yr avg)</t>
        </is>
      </c>
      <c r="K106" s="3" t="inlineStr">
        <is>
          <t>Figure 21, p.20 - categories confirmed directly from chart image</t>
        </is>
      </c>
    </row>
    <row r="107">
      <c r="A107" s="3" t="inlineStr">
        <is>
          <t>Large Company (&gt;= $2B revenue)</t>
        </is>
      </c>
      <c r="B107" s="3" t="n"/>
      <c r="C107" s="6" t="n">
        <v>155000</v>
      </c>
      <c r="D107" s="6" t="n">
        <v>0</v>
      </c>
      <c r="E107" s="3" t="n"/>
      <c r="F107" s="6" t="n">
        <v>20100000</v>
      </c>
      <c r="G107" s="6" t="n">
        <v>500000000</v>
      </c>
      <c r="H107" s="3" t="n">
        <v>15</v>
      </c>
      <c r="I107" s="3" t="inlineStr">
        <is>
          <t>USD</t>
        </is>
      </c>
      <c r="J107" s="3" t="inlineStr">
        <is>
          <t>2020-2024 (5-yr avg)</t>
        </is>
      </c>
      <c r="K107" s="3" t="inlineStr">
        <is>
          <t>p.20 text - only total, max, avg settlement-defense cost, and reg. fines (=$0) are stated in prose; no full category chart given for Large Companies. '155K' mapped to Legal_Damages_Defense as the closest named category ('settlement defense cost').</t>
        </is>
      </c>
    </row>
    <row r="109">
      <c r="A109" s="1">
        <f>== TABLE I : Crisis Services Cost Components - SME (derived from stated %) ===</f>
        <v/>
      </c>
    </row>
    <row r="110">
      <c r="A110" s="2" t="inlineStr">
        <is>
          <t>Component</t>
        </is>
      </c>
      <c r="B110" s="2" t="inlineStr">
        <is>
          <t>Share_of_Total_Crisis_Cost</t>
        </is>
      </c>
      <c r="C110" s="2" t="inlineStr">
        <is>
          <t>Avg_Cost</t>
        </is>
      </c>
      <c r="D110" s="2" t="inlineStr">
        <is>
          <t>N_Claims</t>
        </is>
      </c>
      <c r="E110" s="2" t="inlineStr">
        <is>
          <t>Currency</t>
        </is>
      </c>
      <c r="F110" s="2" t="inlineStr">
        <is>
          <t>Period</t>
        </is>
      </c>
      <c r="G110" s="2" t="inlineStr">
        <is>
          <t>Source_Section</t>
        </is>
      </c>
    </row>
    <row r="111">
      <c r="A111" s="3" t="inlineStr">
        <is>
          <t>Forensics</t>
        </is>
      </c>
      <c r="B111" s="4" t="n">
        <v>0.21</v>
      </c>
      <c r="C111" s="6" t="n">
        <v>31920</v>
      </c>
      <c r="D111" s="3" t="n">
        <v>4712</v>
      </c>
      <c r="E111" s="3" t="inlineStr">
        <is>
          <t>USD</t>
        </is>
      </c>
      <c r="F111" s="3" t="inlineStr">
        <is>
          <t>2020-2024 (5-yr avg)</t>
        </is>
      </c>
      <c r="G111" s="3" t="inlineStr">
        <is>
          <t>p.12 text: 'forensics accounted for 21% of the total' crisis services cost; $ value = 21% x SME Total Crisis Cost avg $152K (Figure 2, p.4). Monitoring/Notification/Other shares not stated in text and Figure 13's chart values could not be reliably read from the extracted text, so they are omitted rather than guessed.</t>
        </is>
      </c>
    </row>
    <row r="112">
      <c r="A112" s="3" t="inlineStr">
        <is>
          <t>Legal Guidance</t>
        </is>
      </c>
      <c r="B112" s="4" t="n">
        <v>0.09</v>
      </c>
      <c r="C112" s="6" t="n">
        <v>13680</v>
      </c>
      <c r="D112" s="3" t="n">
        <v>4712</v>
      </c>
      <c r="E112" s="3" t="inlineStr">
        <is>
          <t>USD</t>
        </is>
      </c>
      <c r="F112" s="3" t="inlineStr">
        <is>
          <t>2020-2024 (5-yr avg)</t>
        </is>
      </c>
      <c r="G112" s="3" t="inlineStr">
        <is>
          <t>p.12 text: 'legal guidance accounted for another 9% of the total' crisis services cost; $ value = 9% x SME Total Crisis Cost avg $152K (Figure 2, p.4).</t>
        </is>
      </c>
    </row>
    <row r="114">
      <c r="A114" t="inlineStr">
        <is>
          <t>Metric</t>
        </is>
      </c>
      <c r="B114" t="inlineStr">
        <is>
          <t>Value</t>
        </is>
      </c>
      <c r="C114" t="inlineStr">
        <is>
          <t>Unit</t>
        </is>
      </c>
      <c r="D114" t="inlineStr">
        <is>
          <t>Currency</t>
        </is>
      </c>
      <c r="E114" t="inlineStr">
        <is>
          <t>Period</t>
        </is>
      </c>
      <c r="F114" t="inlineStr">
        <is>
          <t>Source_Section</t>
        </is>
      </c>
    </row>
    <row r="115">
      <c r="A115" t="inlineStr">
        <is>
          <t>Avg_Recovery_Expense</t>
        </is>
      </c>
      <c r="B115" t="n">
        <v>111000</v>
      </c>
      <c r="C115" t="inlineStr">
        <is>
          <t>USD per claim</t>
        </is>
      </c>
      <c r="D115" t="inlineStr">
        <is>
          <t>USD</t>
        </is>
      </c>
      <c r="E115" t="inlineStr">
        <is>
          <t>2020-2024 (5-yr avg)</t>
        </is>
      </c>
      <c r="F115" t="inlineStr">
        <is>
          <t>Figure 20, p.19</t>
        </is>
      </c>
    </row>
    <row r="116">
      <c r="A116" t="inlineStr">
        <is>
          <t>Avg_Incident_Cost_Recovery_Context</t>
        </is>
      </c>
      <c r="B116" t="n">
        <v>792000</v>
      </c>
      <c r="C116" t="inlineStr">
        <is>
          <t>USD per claim (paired Incident Cost, for reference only)</t>
        </is>
      </c>
      <c r="D116" t="inlineStr">
        <is>
          <t>USD</t>
        </is>
      </c>
      <c r="E116" t="inlineStr">
        <is>
          <t>2020-2024 (5-yr avg)</t>
        </is>
      </c>
      <c r="F116" t="inlineStr">
        <is>
          <t>Figure 20, p.19</t>
        </is>
      </c>
    </row>
    <row r="117">
      <c r="A117" t="inlineStr">
        <is>
          <t>Crisis_Services_Pct_of_Incident_Cost</t>
        </is>
      </c>
      <c r="B117" t="n">
        <v>0.47</v>
      </c>
      <c r="C117" t="inlineStr">
        <is>
          <t>proportion of Incident Cost (ranged 29%-63% by year 2020-2024)</t>
        </is>
      </c>
      <c r="E117" t="inlineStr">
        <is>
          <t>2020-2024 (5-yr avg)</t>
        </is>
      </c>
      <c r="F117" t="inlineStr">
        <is>
          <t>Figure 12, p.11</t>
        </is>
      </c>
    </row>
    <row r="118">
      <c r="A118" t="inlineStr">
        <is>
          <t>Recovery_N_Claims</t>
        </is>
      </c>
      <c r="B118" t="n">
        <v>274</v>
      </c>
      <c r="C118" t="inlineStr">
        <is>
          <t>claims (denominator for Avg_Recovery_Expense)</t>
        </is>
      </c>
      <c r="E118" t="inlineStr">
        <is>
          <t>2020-2024 (5-yr avg)</t>
        </is>
      </c>
      <c r="F118" t="inlineStr">
        <is>
          <t>Figure 20, p.19</t>
        </is>
      </c>
    </row>
    <row r="119">
      <c r="A119" t="inlineStr">
        <is>
          <t>Total_SME_Claims_Table5</t>
        </is>
      </c>
      <c r="B119" t="n">
        <v>8936</v>
      </c>
      <c r="C119" t="inlineStr">
        <is>
          <t>claims (sum of Table 5's own 20 reported sector rows; Construction excluded per its own Notes - not one of Table 5's standard sectors). Descriptive denominator only, e.g. for showing "BI occurs in X% of SME incidents" - never used to compute cost-category percentages of a shared total (see Severity_Revenue_Adjustment_Limitation-style caveat: different NetDiligence tables/pages may not share exactly the same underlying claim population).</t>
        </is>
      </c>
      <c r="E119" t="inlineStr">
        <is>
          <t>2020-2024 (5-yr avg)</t>
        </is>
      </c>
      <c r="F119" t="inlineStr">
        <is>
          <t>Table 5 (Incident Cost by Sector - SMEs), p.54</t>
        </is>
      </c>
    </row>
    <row r="121">
      <c r="A121" s="8" t="inlineStr">
        <is>
          <t>Table B: Cost Component Breakdown (Primary/Secondary tagging for FAIR)</t>
        </is>
      </c>
    </row>
    <row r="122">
      <c r="A122" s="9" t="inlineStr">
        <is>
          <t>Component</t>
        </is>
      </c>
      <c r="B122" s="9" t="inlineStr">
        <is>
          <t>Min</t>
        </is>
      </c>
      <c r="C122" s="9" t="inlineStr">
        <is>
          <t>Avg</t>
        </is>
      </c>
      <c r="D122" s="9" t="inlineStr">
        <is>
          <t>Max</t>
        </is>
      </c>
      <c r="E122" s="9" t="inlineStr">
        <is>
          <t>Currency</t>
        </is>
      </c>
      <c r="F122" s="9" t="inlineStr">
        <is>
          <t>Primary_Secondary</t>
        </is>
      </c>
      <c r="G122" s="9" t="inlineStr">
        <is>
          <t>Basis</t>
        </is>
      </c>
      <c r="H122" s="9" t="inlineStr">
        <is>
          <t>Source_Report</t>
        </is>
      </c>
      <c r="I122" s="9" t="inlineStr">
        <is>
          <t>Source_Section</t>
        </is>
      </c>
      <c r="J122" s="9" t="inlineStr">
        <is>
          <t>Notes</t>
        </is>
      </c>
      <c r="L122" t="inlineStr">
        <is>
          <t>Applicable_Industry</t>
        </is>
      </c>
    </row>
    <row r="123">
      <c r="A123" t="inlineStr">
        <is>
          <t>Forensics</t>
        </is>
      </c>
      <c r="B123" t="n">
        <v>0</v>
      </c>
      <c r="C123" t="n">
        <v>71000</v>
      </c>
      <c r="D123" t="n">
        <v>5000000</v>
      </c>
      <c r="E123" t="inlineStr">
        <is>
          <t>USD</t>
        </is>
      </c>
      <c r="F123" t="inlineStr">
        <is>
          <t>Primary</t>
        </is>
      </c>
      <c r="G123" t="inlineStr">
        <is>
          <t>Internal investigation - not driven by 2nd-party reaction</t>
        </is>
      </c>
      <c r="H123" t="inlineStr">
        <is>
          <t>NetDiligence Manufacturing Insights 2025</t>
        </is>
      </c>
      <c r="I123" t="inlineStr">
        <is>
          <t>Table 1, p.11</t>
        </is>
      </c>
      <c r="J123" t="inlineStr">
        <is>
          <t>Manufacturing SME only, 2020-2024.</t>
        </is>
      </c>
      <c r="L123" t="inlineStr">
        <is>
          <t>Manufacturing</t>
        </is>
      </c>
    </row>
    <row r="124">
      <c r="A124" t="inlineStr">
        <is>
          <t>Credit Monitoring</t>
        </is>
      </c>
      <c r="B124" t="n">
        <v>0</v>
      </c>
      <c r="C124" t="n">
        <v>2000</v>
      </c>
      <c r="D124" t="n">
        <v>21000</v>
      </c>
      <c r="E124" t="inlineStr">
        <is>
          <t>USD</t>
        </is>
      </c>
      <c r="F124" t="inlineStr">
        <is>
          <t>Secondary</t>
        </is>
      </c>
      <c r="G124" t="inlineStr">
        <is>
          <t>Offered to affected data subjects (2nd-party stakeholder response)</t>
        </is>
      </c>
      <c r="H124" t="inlineStr">
        <is>
          <t>NetDiligence Manufacturing Insights 2025</t>
        </is>
      </c>
      <c r="I124" t="inlineStr">
        <is>
          <t>Table 1, p.11</t>
        </is>
      </c>
      <c r="J124" t="inlineStr">
        <is>
          <t>Manufacturing SME only, 2020-2024.</t>
        </is>
      </c>
      <c r="L124" t="inlineStr">
        <is>
          <t>Manufacturing</t>
        </is>
      </c>
    </row>
    <row r="125">
      <c r="A125" t="inlineStr">
        <is>
          <t>Notification</t>
        </is>
      </c>
      <c r="B125" t="n">
        <v>0</v>
      </c>
      <c r="C125" t="n">
        <v>7000</v>
      </c>
      <c r="D125" t="n">
        <v>86000</v>
      </c>
      <c r="E125" t="inlineStr">
        <is>
          <t>USD</t>
        </is>
      </c>
      <c r="F125" t="inlineStr">
        <is>
          <t>Secondary</t>
        </is>
      </c>
      <c r="G125" t="inlineStr">
        <is>
          <t>Communication to affected data subjects/regulators</t>
        </is>
      </c>
      <c r="H125" t="inlineStr">
        <is>
          <t>NetDiligence Manufacturing Insights 2025</t>
        </is>
      </c>
      <c r="I125" t="inlineStr">
        <is>
          <t>Table 1, p.11</t>
        </is>
      </c>
      <c r="J125" t="inlineStr">
        <is>
          <t>Manufacturing SME only, 2020-2024.</t>
        </is>
      </c>
      <c r="L125" t="inlineStr">
        <is>
          <t>Manufacturing</t>
        </is>
      </c>
    </row>
    <row r="126">
      <c r="A126" t="inlineStr">
        <is>
          <t>Legal Guidance</t>
        </is>
      </c>
      <c r="B126" t="n">
        <v>0</v>
      </c>
      <c r="C126" t="n">
        <v>22000</v>
      </c>
      <c r="D126" t="n">
        <v>459000</v>
      </c>
      <c r="E126" t="inlineStr">
        <is>
          <t>USD</t>
        </is>
      </c>
      <c r="F126" t="inlineStr">
        <is>
          <t>Secondary</t>
        </is>
      </c>
      <c r="G126" t="inlineStr">
        <is>
          <t>Regulatory/legal counsel engaged due to external stakeholder exposure</t>
        </is>
      </c>
      <c r="H126" t="inlineStr">
        <is>
          <t>NetDiligence Manufacturing Insights 2025</t>
        </is>
      </c>
      <c r="I126" t="inlineStr">
        <is>
          <t>Table 1, p.11</t>
        </is>
      </c>
      <c r="J126" t="inlineStr">
        <is>
          <t>Manufacturing SME only, 2020-2024.</t>
        </is>
      </c>
      <c r="L126" t="inlineStr">
        <is>
          <t>Manufacturing</t>
        </is>
      </c>
    </row>
    <row r="127">
      <c r="A127" t="inlineStr">
        <is>
          <t>Other Crisis Services</t>
        </is>
      </c>
      <c r="B127" t="n">
        <v>0</v>
      </c>
      <c r="C127" t="n">
        <v>98000</v>
      </c>
      <c r="D127" t="n">
        <v>1100000</v>
      </c>
      <c r="E127" t="inlineStr">
        <is>
          <t>USD</t>
        </is>
      </c>
      <c r="F127" t="inlineStr">
        <is>
          <t>Mixed/Unclassified</t>
        </is>
      </c>
      <c r="G127" t="inlineStr">
        <is>
          <t>Undisclosed composition - cannot be confidently split</t>
        </is>
      </c>
      <c r="H127" t="inlineStr">
        <is>
          <t>NetDiligence Manufacturing Insights 2025</t>
        </is>
      </c>
      <c r="I127" t="inlineStr">
        <is>
          <t>Table 1, p.11</t>
        </is>
      </c>
      <c r="J127" t="inlineStr">
        <is>
          <t>Manufacturing SME only. DO NOT default to Primary or Secondary.</t>
        </is>
      </c>
      <c r="L127" t="inlineStr">
        <is>
          <t>Manufacturing</t>
        </is>
      </c>
    </row>
    <row r="128">
      <c r="A128" t="inlineStr">
        <is>
          <t>Forensics</t>
        </is>
      </c>
      <c r="C128" t="n">
        <v>33000</v>
      </c>
      <c r="E128" t="inlineStr">
        <is>
          <t>USD</t>
        </is>
      </c>
      <c r="F128" t="inlineStr">
        <is>
          <t>Primary</t>
        </is>
      </c>
      <c r="G128" t="inlineStr">
        <is>
          <t>Internal investigation - not driven by 2nd-party reaction</t>
        </is>
      </c>
      <c r="H128" t="inlineStr">
        <is>
          <t>NetDiligence Cyber Claims Study 2025</t>
        </is>
      </c>
      <c r="I128" t="inlineStr">
        <is>
          <t>Table 6</t>
        </is>
      </c>
      <c r="J128" t="inlineStr">
        <is>
          <t>All Sectors (SME), 2020-2024 aggregate. Published Total Crisis Costs for this sector: $84,000 (may differ from the sum of these 5 average components - not every claim incurs every cost type; this total is a citation reference only, not used in any calculation).</t>
        </is>
      </c>
      <c r="L128" t="inlineStr">
        <is>
          <t>Agriculture</t>
        </is>
      </c>
    </row>
    <row r="129">
      <c r="A129" t="inlineStr">
        <is>
          <t>Credit Monitoring</t>
        </is>
      </c>
      <c r="C129" t="n">
        <v>6000</v>
      </c>
      <c r="E129" t="inlineStr">
        <is>
          <t>USD</t>
        </is>
      </c>
      <c r="F129" t="inlineStr">
        <is>
          <t>Secondary</t>
        </is>
      </c>
      <c r="G129" t="inlineStr">
        <is>
          <t>Offered to affected data subjects (2nd-party stakeholder response)</t>
        </is>
      </c>
      <c r="H129" t="inlineStr">
        <is>
          <t>NetDiligence Cyber Claims Study 2025</t>
        </is>
      </c>
      <c r="I129" t="inlineStr">
        <is>
          <t>Table 6</t>
        </is>
      </c>
      <c r="J129" t="inlineStr">
        <is>
          <t>All Sectors (SME), 2020-2024 aggregate. Published Total Crisis Costs for this sector: $84,000 (may differ from the sum of these 5 average components - not every claim incurs every cost type; this total is a citation reference only, not used in any calculation).</t>
        </is>
      </c>
      <c r="L129" t="inlineStr">
        <is>
          <t>Agriculture</t>
        </is>
      </c>
    </row>
    <row r="130">
      <c r="A130" t="inlineStr">
        <is>
          <t>Notification</t>
        </is>
      </c>
      <c r="C130" t="n">
        <v>6000</v>
      </c>
      <c r="E130" t="inlineStr">
        <is>
          <t>USD</t>
        </is>
      </c>
      <c r="F130" t="inlineStr">
        <is>
          <t>Secondary</t>
        </is>
      </c>
      <c r="G130" t="inlineStr">
        <is>
          <t>Communication to affected data subjects/regulators</t>
        </is>
      </c>
      <c r="H130" t="inlineStr">
        <is>
          <t>NetDiligence Cyber Claims Study 2025</t>
        </is>
      </c>
      <c r="I130" t="inlineStr">
        <is>
          <t>Table 6</t>
        </is>
      </c>
      <c r="J130" t="inlineStr">
        <is>
          <t>All Sectors (SME), 2020-2024 aggregate. Published Total Crisis Costs for this sector: $84,000 (may differ from the sum of these 5 average components - not every claim incurs every cost type; this total is a citation reference only, not used in any calculation).</t>
        </is>
      </c>
      <c r="L130" t="inlineStr">
        <is>
          <t>Agriculture</t>
        </is>
      </c>
    </row>
    <row r="131">
      <c r="A131" t="inlineStr">
        <is>
          <t>Legal Guidance</t>
        </is>
      </c>
      <c r="C131" t="n">
        <v>16000</v>
      </c>
      <c r="E131" t="inlineStr">
        <is>
          <t>USD</t>
        </is>
      </c>
      <c r="F131" t="inlineStr">
        <is>
          <t>Secondary</t>
        </is>
      </c>
      <c r="G131" t="inlineStr">
        <is>
          <t>Regulatory/legal counsel engaged due to external stakeholder exposure</t>
        </is>
      </c>
      <c r="H131" t="inlineStr">
        <is>
          <t>NetDiligence Cyber Claims Study 2025</t>
        </is>
      </c>
      <c r="I131" t="inlineStr">
        <is>
          <t>Table 6</t>
        </is>
      </c>
      <c r="J131" t="inlineStr">
        <is>
          <t>All Sectors (SME), 2020-2024 aggregate. Published Total Crisis Costs for this sector: $84,000 (may differ from the sum of these 5 average components - not every claim incurs every cost type; this total is a citation reference only, not used in any calculation).</t>
        </is>
      </c>
      <c r="L131" t="inlineStr">
        <is>
          <t>Agriculture</t>
        </is>
      </c>
    </row>
    <row r="132">
      <c r="A132" t="inlineStr">
        <is>
          <t>Other Crisis Services</t>
        </is>
      </c>
      <c r="C132" t="n">
        <v>93000</v>
      </c>
      <c r="E132" t="inlineStr">
        <is>
          <t>USD</t>
        </is>
      </c>
      <c r="F132" t="inlineStr">
        <is>
          <t>Mixed/Unclassified</t>
        </is>
      </c>
      <c r="G132" t="inlineStr">
        <is>
          <t>Undisclosed composition - cannot be confidently split</t>
        </is>
      </c>
      <c r="H132" t="inlineStr">
        <is>
          <t>NetDiligence Cyber Claims Study 2025</t>
        </is>
      </c>
      <c r="I132" t="inlineStr">
        <is>
          <t>Table 6</t>
        </is>
      </c>
      <c r="J132" t="inlineStr">
        <is>
          <t>All Sectors (SME), 2020-2024 aggregate. Published Total Crisis Costs for this sector: $84,000 (may differ from the sum of these 5 average components - not every claim incurs every cost type; this total is a citation reference only, not used in any calculation).</t>
        </is>
      </c>
      <c r="L132" t="inlineStr">
        <is>
          <t>Agriculture</t>
        </is>
      </c>
    </row>
    <row r="133">
      <c r="A133" t="inlineStr">
        <is>
          <t>Forensics</t>
        </is>
      </c>
      <c r="C133" t="n">
        <v>62000</v>
      </c>
      <c r="E133" t="inlineStr">
        <is>
          <t>USD</t>
        </is>
      </c>
      <c r="F133" t="inlineStr">
        <is>
          <t>Primary</t>
        </is>
      </c>
      <c r="G133" t="inlineStr">
        <is>
          <t>Internal investigation - not driven by 2nd-party reaction</t>
        </is>
      </c>
      <c r="H133" t="inlineStr">
        <is>
          <t>NetDiligence Cyber Claims Study 2025</t>
        </is>
      </c>
      <c r="I133" t="inlineStr">
        <is>
          <t>Table 6</t>
        </is>
      </c>
      <c r="J133" t="inlineStr">
        <is>
          <t>All Sectors (SME), 2020-2024 aggregate. Published Total Crisis Costs for this sector: $101,000 (may differ from the sum of these 5 average components - not every claim incurs every cost type; this total is a citation reference only, not used in any calculation).</t>
        </is>
      </c>
      <c r="L133" t="inlineStr">
        <is>
          <t>Education</t>
        </is>
      </c>
    </row>
    <row r="134">
      <c r="A134" t="inlineStr">
        <is>
          <t>Credit Monitoring</t>
        </is>
      </c>
      <c r="C134" t="n">
        <v>13000</v>
      </c>
      <c r="E134" t="inlineStr">
        <is>
          <t>USD</t>
        </is>
      </c>
      <c r="F134" t="inlineStr">
        <is>
          <t>Secondary</t>
        </is>
      </c>
      <c r="G134" t="inlineStr">
        <is>
          <t>Offered to affected data subjects (2nd-party stakeholder response)</t>
        </is>
      </c>
      <c r="H134" t="inlineStr">
        <is>
          <t>NetDiligence Cyber Claims Study 2025</t>
        </is>
      </c>
      <c r="I134" t="inlineStr">
        <is>
          <t>Table 6</t>
        </is>
      </c>
      <c r="J134" t="inlineStr">
        <is>
          <t>All Sectors (SME), 2020-2024 aggregate. Published Total Crisis Costs for this sector: $101,000 (may differ from the sum of these 5 average components - not every claim incurs every cost type; this total is a citation reference only, not used in any calculation).</t>
        </is>
      </c>
      <c r="L134" t="inlineStr">
        <is>
          <t>Education</t>
        </is>
      </c>
    </row>
    <row r="135">
      <c r="A135" t="inlineStr">
        <is>
          <t>Notification</t>
        </is>
      </c>
      <c r="C135" t="n">
        <v>10000</v>
      </c>
      <c r="E135" t="inlineStr">
        <is>
          <t>USD</t>
        </is>
      </c>
      <c r="F135" t="inlineStr">
        <is>
          <t>Secondary</t>
        </is>
      </c>
      <c r="G135" t="inlineStr">
        <is>
          <t>Communication to affected data subjects/regulators</t>
        </is>
      </c>
      <c r="H135" t="inlineStr">
        <is>
          <t>NetDiligence Cyber Claims Study 2025</t>
        </is>
      </c>
      <c r="I135" t="inlineStr">
        <is>
          <t>Table 6</t>
        </is>
      </c>
      <c r="J135" t="inlineStr">
        <is>
          <t>All Sectors (SME), 2020-2024 aggregate. Published Total Crisis Costs for this sector: $101,000 (may differ from the sum of these 5 average components - not every claim incurs every cost type; this total is a citation reference only, not used in any calculation).</t>
        </is>
      </c>
      <c r="L135" t="inlineStr">
        <is>
          <t>Education</t>
        </is>
      </c>
    </row>
    <row r="136">
      <c r="A136" t="inlineStr">
        <is>
          <t>Legal Guidance</t>
        </is>
      </c>
      <c r="C136" t="n">
        <v>19000</v>
      </c>
      <c r="E136" t="inlineStr">
        <is>
          <t>USD</t>
        </is>
      </c>
      <c r="F136" t="inlineStr">
        <is>
          <t>Secondary</t>
        </is>
      </c>
      <c r="G136" t="inlineStr">
        <is>
          <t>Regulatory/legal counsel engaged due to external stakeholder exposure</t>
        </is>
      </c>
      <c r="H136" t="inlineStr">
        <is>
          <t>NetDiligence Cyber Claims Study 2025</t>
        </is>
      </c>
      <c r="I136" t="inlineStr">
        <is>
          <t>Table 6</t>
        </is>
      </c>
      <c r="J136" t="inlineStr">
        <is>
          <t>All Sectors (SME), 2020-2024 aggregate. Published Total Crisis Costs for this sector: $101,000 (may differ from the sum of these 5 average components - not every claim incurs every cost type; this total is a citation reference only, not used in any calculation).</t>
        </is>
      </c>
      <c r="L136" t="inlineStr">
        <is>
          <t>Education</t>
        </is>
      </c>
    </row>
    <row r="137">
      <c r="A137" t="inlineStr">
        <is>
          <t>Other Crisis Services</t>
        </is>
      </c>
      <c r="C137" t="n">
        <v>103000</v>
      </c>
      <c r="E137" t="inlineStr">
        <is>
          <t>USD</t>
        </is>
      </c>
      <c r="F137" t="inlineStr">
        <is>
          <t>Mixed/Unclassified</t>
        </is>
      </c>
      <c r="G137" t="inlineStr">
        <is>
          <t>Undisclosed composition - cannot be confidently split</t>
        </is>
      </c>
      <c r="H137" t="inlineStr">
        <is>
          <t>NetDiligence Cyber Claims Study 2025</t>
        </is>
      </c>
      <c r="I137" t="inlineStr">
        <is>
          <t>Table 6</t>
        </is>
      </c>
      <c r="J137" t="inlineStr">
        <is>
          <t>All Sectors (SME), 2020-2024 aggregate. Published Total Crisis Costs for this sector: $101,000 (may differ from the sum of these 5 average components - not every claim incurs every cost type; this total is a citation reference only, not used in any calculation).</t>
        </is>
      </c>
      <c r="L137" t="inlineStr">
        <is>
          <t>Education</t>
        </is>
      </c>
    </row>
    <row r="138">
      <c r="A138" t="inlineStr">
        <is>
          <t>Forensics</t>
        </is>
      </c>
      <c r="C138" t="n">
        <v>42000</v>
      </c>
      <c r="E138" t="inlineStr">
        <is>
          <t>USD</t>
        </is>
      </c>
      <c r="F138" t="inlineStr">
        <is>
          <t>Primary</t>
        </is>
      </c>
      <c r="G138" t="inlineStr">
        <is>
          <t>Internal investigation - not driven by 2nd-party reaction</t>
        </is>
      </c>
      <c r="H138" t="inlineStr">
        <is>
          <t>NetDiligence Cyber Claims Study 2025</t>
        </is>
      </c>
      <c r="I138" t="inlineStr">
        <is>
          <t>Table 6</t>
        </is>
      </c>
      <c r="J138" t="inlineStr">
        <is>
          <t>All Sectors (SME), 2020-2024 aggregate. Published Total Crisis Costs for this sector: $119,000 (may differ from the sum of these 5 average components - not every claim incurs every cost type; this total is a citation reference only, not used in any calculation).</t>
        </is>
      </c>
      <c r="L138" t="inlineStr">
        <is>
          <t>Entertainment</t>
        </is>
      </c>
    </row>
    <row r="139">
      <c r="A139" t="inlineStr">
        <is>
          <t>Credit Monitoring</t>
        </is>
      </c>
      <c r="C139" t="n">
        <v>54000</v>
      </c>
      <c r="E139" t="inlineStr">
        <is>
          <t>USD</t>
        </is>
      </c>
      <c r="F139" t="inlineStr">
        <is>
          <t>Secondary</t>
        </is>
      </c>
      <c r="G139" t="inlineStr">
        <is>
          <t>Offered to affected data subjects (2nd-party stakeholder response)</t>
        </is>
      </c>
      <c r="H139" t="inlineStr">
        <is>
          <t>NetDiligence Cyber Claims Study 2025</t>
        </is>
      </c>
      <c r="I139" t="inlineStr">
        <is>
          <t>Table 6</t>
        </is>
      </c>
      <c r="J139" t="inlineStr">
        <is>
          <t>All Sectors (SME), 2020-2024 aggregate. Published Total Crisis Costs for this sector: $119,000 (may differ from the sum of these 5 average components - not every claim incurs every cost type; this total is a citation reference only, not used in any calculation).</t>
        </is>
      </c>
      <c r="L139" t="inlineStr">
        <is>
          <t>Entertainment</t>
        </is>
      </c>
    </row>
    <row r="140">
      <c r="A140" t="inlineStr">
        <is>
          <t>Notification</t>
        </is>
      </c>
      <c r="C140" t="n">
        <v>4000</v>
      </c>
      <c r="E140" t="inlineStr">
        <is>
          <t>USD</t>
        </is>
      </c>
      <c r="F140" t="inlineStr">
        <is>
          <t>Secondary</t>
        </is>
      </c>
      <c r="G140" t="inlineStr">
        <is>
          <t>Communication to affected data subjects/regulators</t>
        </is>
      </c>
      <c r="H140" t="inlineStr">
        <is>
          <t>NetDiligence Cyber Claims Study 2025</t>
        </is>
      </c>
      <c r="I140" t="inlineStr">
        <is>
          <t>Table 6</t>
        </is>
      </c>
      <c r="J140" t="inlineStr">
        <is>
          <t>All Sectors (SME), 2020-2024 aggregate. Published Total Crisis Costs for this sector: $119,000 (may differ from the sum of these 5 average components - not every claim incurs every cost type; this total is a citation reference only, not used in any calculation).</t>
        </is>
      </c>
      <c r="L140" t="inlineStr">
        <is>
          <t>Entertainment</t>
        </is>
      </c>
    </row>
    <row r="141">
      <c r="A141" t="inlineStr">
        <is>
          <t>Legal Guidance</t>
        </is>
      </c>
      <c r="C141" t="n">
        <v>26000</v>
      </c>
      <c r="E141" t="inlineStr">
        <is>
          <t>USD</t>
        </is>
      </c>
      <c r="F141" t="inlineStr">
        <is>
          <t>Secondary</t>
        </is>
      </c>
      <c r="G141" t="inlineStr">
        <is>
          <t>Regulatory/legal counsel engaged due to external stakeholder exposure</t>
        </is>
      </c>
      <c r="H141" t="inlineStr">
        <is>
          <t>NetDiligence Cyber Claims Study 2025</t>
        </is>
      </c>
      <c r="I141" t="inlineStr">
        <is>
          <t>Table 6</t>
        </is>
      </c>
      <c r="J141" t="inlineStr">
        <is>
          <t>All Sectors (SME), 2020-2024 aggregate. Published Total Crisis Costs for this sector: $119,000 (may differ from the sum of these 5 average components - not every claim incurs every cost type; this total is a citation reference only, not used in any calculation).</t>
        </is>
      </c>
      <c r="L141" t="inlineStr">
        <is>
          <t>Entertainment</t>
        </is>
      </c>
    </row>
    <row r="142">
      <c r="A142" t="inlineStr">
        <is>
          <t>Other Crisis Services</t>
        </is>
      </c>
      <c r="C142" t="n">
        <v>152000</v>
      </c>
      <c r="E142" t="inlineStr">
        <is>
          <t>USD</t>
        </is>
      </c>
      <c r="F142" t="inlineStr">
        <is>
          <t>Mixed/Unclassified</t>
        </is>
      </c>
      <c r="G142" t="inlineStr">
        <is>
          <t>Undisclosed composition - cannot be confidently split</t>
        </is>
      </c>
      <c r="H142" t="inlineStr">
        <is>
          <t>NetDiligence Cyber Claims Study 2025</t>
        </is>
      </c>
      <c r="I142" t="inlineStr">
        <is>
          <t>Table 6</t>
        </is>
      </c>
      <c r="J142" t="inlineStr">
        <is>
          <t>All Sectors (SME), 2020-2024 aggregate. Published Total Crisis Costs for this sector: $119,000 (may differ from the sum of these 5 average components - not every claim incurs every cost type; this total is a citation reference only, not used in any calculation).</t>
        </is>
      </c>
      <c r="L142" t="inlineStr">
        <is>
          <t>Entertainment</t>
        </is>
      </c>
    </row>
    <row r="143">
      <c r="A143" t="inlineStr">
        <is>
          <t>Forensics</t>
        </is>
      </c>
      <c r="C143" t="n">
        <v>70000</v>
      </c>
      <c r="E143" t="inlineStr">
        <is>
          <t>USD</t>
        </is>
      </c>
      <c r="F143" t="inlineStr">
        <is>
          <t>Primary</t>
        </is>
      </c>
      <c r="G143" t="inlineStr">
        <is>
          <t>Internal investigation - not driven by 2nd-party reaction</t>
        </is>
      </c>
      <c r="H143" t="inlineStr">
        <is>
          <t>NetDiligence Cyber Claims Study 2025</t>
        </is>
      </c>
      <c r="I143" t="inlineStr">
        <is>
          <t>Table 6</t>
        </is>
      </c>
      <c r="J143" t="inlineStr">
        <is>
          <t>All Sectors (SME), 2020-2024 aggregate. Published Total Crisis Costs for this sector: $168,000 (may differ from the sum of these 5 average components - not every claim incurs every cost type; this total is a citation reference only, not used in any calculation).</t>
        </is>
      </c>
      <c r="L143" t="inlineStr">
        <is>
          <t>Financial Services</t>
        </is>
      </c>
    </row>
    <row r="144">
      <c r="A144" t="inlineStr">
        <is>
          <t>Credit Monitoring</t>
        </is>
      </c>
      <c r="C144" t="n">
        <v>145000</v>
      </c>
      <c r="E144" t="inlineStr">
        <is>
          <t>USD</t>
        </is>
      </c>
      <c r="F144" t="inlineStr">
        <is>
          <t>Secondary</t>
        </is>
      </c>
      <c r="G144" t="inlineStr">
        <is>
          <t>Offered to affected data subjects (2nd-party stakeholder response)</t>
        </is>
      </c>
      <c r="H144" t="inlineStr">
        <is>
          <t>NetDiligence Cyber Claims Study 2025</t>
        </is>
      </c>
      <c r="I144" t="inlineStr">
        <is>
          <t>Table 6</t>
        </is>
      </c>
      <c r="J144" t="inlineStr">
        <is>
          <t>All Sectors (SME), 2020-2024 aggregate. Published Total Crisis Costs for this sector: $168,000 (may differ from the sum of these 5 average components - not every claim incurs every cost type; this total is a citation reference only, not used in any calculation).</t>
        </is>
      </c>
      <c r="L144" t="inlineStr">
        <is>
          <t>Financial Services</t>
        </is>
      </c>
    </row>
    <row r="145">
      <c r="A145" t="inlineStr">
        <is>
          <t>Notification</t>
        </is>
      </c>
      <c r="C145" t="n">
        <v>74000</v>
      </c>
      <c r="E145" t="inlineStr">
        <is>
          <t>USD</t>
        </is>
      </c>
      <c r="F145" t="inlineStr">
        <is>
          <t>Secondary</t>
        </is>
      </c>
      <c r="G145" t="inlineStr">
        <is>
          <t>Communication to affected data subjects/regulators</t>
        </is>
      </c>
      <c r="H145" t="inlineStr">
        <is>
          <t>NetDiligence Cyber Claims Study 2025</t>
        </is>
      </c>
      <c r="I145" t="inlineStr">
        <is>
          <t>Table 6</t>
        </is>
      </c>
      <c r="J145" t="inlineStr">
        <is>
          <t>All Sectors (SME), 2020-2024 aggregate. Published Total Crisis Costs for this sector: $168,000 (may differ from the sum of these 5 average components - not every claim incurs every cost type; this total is a citation reference only, not used in any calculation).</t>
        </is>
      </c>
      <c r="L145" t="inlineStr">
        <is>
          <t>Financial Services</t>
        </is>
      </c>
    </row>
    <row r="146">
      <c r="A146" t="inlineStr">
        <is>
          <t>Legal Guidance</t>
        </is>
      </c>
      <c r="C146" t="n">
        <v>26000</v>
      </c>
      <c r="E146" t="inlineStr">
        <is>
          <t>USD</t>
        </is>
      </c>
      <c r="F146" t="inlineStr">
        <is>
          <t>Secondary</t>
        </is>
      </c>
      <c r="G146" t="inlineStr">
        <is>
          <t>Regulatory/legal counsel engaged due to external stakeholder exposure</t>
        </is>
      </c>
      <c r="H146" t="inlineStr">
        <is>
          <t>NetDiligence Cyber Claims Study 2025</t>
        </is>
      </c>
      <c r="I146" t="inlineStr">
        <is>
          <t>Table 6</t>
        </is>
      </c>
      <c r="J146" t="inlineStr">
        <is>
          <t>All Sectors (SME), 2020-2024 aggregate. Published Total Crisis Costs for this sector: $168,000 (may differ from the sum of these 5 average components - not every claim incurs every cost type; this total is a citation reference only, not used in any calculation).</t>
        </is>
      </c>
      <c r="L146" t="inlineStr">
        <is>
          <t>Financial Services</t>
        </is>
      </c>
    </row>
    <row r="147">
      <c r="A147" t="inlineStr">
        <is>
          <t>Other Crisis Services</t>
        </is>
      </c>
      <c r="C147" t="n">
        <v>118000</v>
      </c>
      <c r="E147" t="inlineStr">
        <is>
          <t>USD</t>
        </is>
      </c>
      <c r="F147" t="inlineStr">
        <is>
          <t>Mixed/Unclassified</t>
        </is>
      </c>
      <c r="G147" t="inlineStr">
        <is>
          <t>Undisclosed composition - cannot be confidently split</t>
        </is>
      </c>
      <c r="H147" t="inlineStr">
        <is>
          <t>NetDiligence Cyber Claims Study 2025</t>
        </is>
      </c>
      <c r="I147" t="inlineStr">
        <is>
          <t>Table 6</t>
        </is>
      </c>
      <c r="J147" t="inlineStr">
        <is>
          <t>All Sectors (SME), 2020-2024 aggregate. Published Total Crisis Costs for this sector: $168,000 (may differ from the sum of these 5 average components - not every claim incurs every cost type; this total is a citation reference only, not used in any calculation).</t>
        </is>
      </c>
      <c r="L147" t="inlineStr">
        <is>
          <t>Financial Services</t>
        </is>
      </c>
    </row>
    <row r="148">
      <c r="A148" t="inlineStr">
        <is>
          <t>Forensics</t>
        </is>
      </c>
      <c r="C148" t="n">
        <v>134000</v>
      </c>
      <c r="E148" t="inlineStr">
        <is>
          <t>USD</t>
        </is>
      </c>
      <c r="F148" t="inlineStr">
        <is>
          <t>Primary</t>
        </is>
      </c>
      <c r="G148" t="inlineStr">
        <is>
          <t>Internal investigation - not driven by 2nd-party reaction</t>
        </is>
      </c>
      <c r="H148" t="inlineStr">
        <is>
          <t>NetDiligence Cyber Claims Study 2025</t>
        </is>
      </c>
      <c r="I148" t="inlineStr">
        <is>
          <t>Table 6</t>
        </is>
      </c>
      <c r="J148" t="inlineStr">
        <is>
          <t>All Sectors (SME), 2020-2024 aggregate. Published Total Crisis Costs for this sector: $290,000 (may differ from the sum of these 5 average components - not every claim incurs every cost type; this total is a citation reference only, not used in any calculation).</t>
        </is>
      </c>
      <c r="L148" t="inlineStr">
        <is>
          <t>Healthcare</t>
        </is>
      </c>
    </row>
    <row r="149">
      <c r="A149" t="inlineStr">
        <is>
          <t>Credit Monitoring</t>
        </is>
      </c>
      <c r="C149" t="n">
        <v>195000</v>
      </c>
      <c r="E149" t="inlineStr">
        <is>
          <t>USD</t>
        </is>
      </c>
      <c r="F149" t="inlineStr">
        <is>
          <t>Secondary</t>
        </is>
      </c>
      <c r="G149" t="inlineStr">
        <is>
          <t>Offered to affected data subjects (2nd-party stakeholder response)</t>
        </is>
      </c>
      <c r="H149" t="inlineStr">
        <is>
          <t>NetDiligence Cyber Claims Study 2025</t>
        </is>
      </c>
      <c r="I149" t="inlineStr">
        <is>
          <t>Table 6</t>
        </is>
      </c>
      <c r="J149" t="inlineStr">
        <is>
          <t>All Sectors (SME), 2020-2024 aggregate. Published Total Crisis Costs for this sector: $290,000 (may differ from the sum of these 5 average components - not every claim incurs every cost type; this total is a citation reference only, not used in any calculation).</t>
        </is>
      </c>
      <c r="L149" t="inlineStr">
        <is>
          <t>Healthcare</t>
        </is>
      </c>
    </row>
    <row r="150">
      <c r="A150" t="inlineStr">
        <is>
          <t>Notification</t>
        </is>
      </c>
      <c r="C150" t="n">
        <v>34000</v>
      </c>
      <c r="E150" t="inlineStr">
        <is>
          <t>USD</t>
        </is>
      </c>
      <c r="F150" t="inlineStr">
        <is>
          <t>Secondary</t>
        </is>
      </c>
      <c r="G150" t="inlineStr">
        <is>
          <t>Communication to affected data subjects/regulators</t>
        </is>
      </c>
      <c r="H150" t="inlineStr">
        <is>
          <t>NetDiligence Cyber Claims Study 2025</t>
        </is>
      </c>
      <c r="I150" t="inlineStr">
        <is>
          <t>Table 6</t>
        </is>
      </c>
      <c r="J150" t="inlineStr">
        <is>
          <t>All Sectors (SME), 2020-2024 aggregate. Published Total Crisis Costs for this sector: $290,000 (may differ from the sum of these 5 average components - not every claim incurs every cost type; this total is a citation reference only, not used in any calculation).</t>
        </is>
      </c>
      <c r="L150" t="inlineStr">
        <is>
          <t>Healthcare</t>
        </is>
      </c>
    </row>
    <row r="151">
      <c r="A151" t="inlineStr">
        <is>
          <t>Legal Guidance</t>
        </is>
      </c>
      <c r="C151" t="n">
        <v>45000</v>
      </c>
      <c r="E151" t="inlineStr">
        <is>
          <t>USD</t>
        </is>
      </c>
      <c r="F151" t="inlineStr">
        <is>
          <t>Secondary</t>
        </is>
      </c>
      <c r="G151" t="inlineStr">
        <is>
          <t>Regulatory/legal counsel engaged due to external stakeholder exposure</t>
        </is>
      </c>
      <c r="H151" t="inlineStr">
        <is>
          <t>NetDiligence Cyber Claims Study 2025</t>
        </is>
      </c>
      <c r="I151" t="inlineStr">
        <is>
          <t>Table 6</t>
        </is>
      </c>
      <c r="J151" t="inlineStr">
        <is>
          <t>All Sectors (SME), 2020-2024 aggregate. Published Total Crisis Costs for this sector: $290,000 (may differ from the sum of these 5 average components - not every claim incurs every cost type; this total is a citation reference only, not used in any calculation).</t>
        </is>
      </c>
      <c r="L151" t="inlineStr">
        <is>
          <t>Healthcare</t>
        </is>
      </c>
    </row>
    <row r="152">
      <c r="A152" t="inlineStr">
        <is>
          <t>Other Crisis Services</t>
        </is>
      </c>
      <c r="C152" t="n">
        <v>113000</v>
      </c>
      <c r="E152" t="inlineStr">
        <is>
          <t>USD</t>
        </is>
      </c>
      <c r="F152" t="inlineStr">
        <is>
          <t>Mixed/Unclassified</t>
        </is>
      </c>
      <c r="G152" t="inlineStr">
        <is>
          <t>Undisclosed composition - cannot be confidently split</t>
        </is>
      </c>
      <c r="H152" t="inlineStr">
        <is>
          <t>NetDiligence Cyber Claims Study 2025</t>
        </is>
      </c>
      <c r="I152" t="inlineStr">
        <is>
          <t>Table 6</t>
        </is>
      </c>
      <c r="J152" t="inlineStr">
        <is>
          <t>All Sectors (SME), 2020-2024 aggregate. Published Total Crisis Costs for this sector: $290,000 (may differ from the sum of these 5 average components - not every claim incurs every cost type; this total is a citation reference only, not used in any calculation).</t>
        </is>
      </c>
      <c r="L152" t="inlineStr">
        <is>
          <t>Healthcare</t>
        </is>
      </c>
    </row>
    <row r="153">
      <c r="A153" t="inlineStr">
        <is>
          <t>Forensics</t>
        </is>
      </c>
      <c r="C153" t="n">
        <v>47000</v>
      </c>
      <c r="E153" t="inlineStr">
        <is>
          <t>USD</t>
        </is>
      </c>
      <c r="F153" t="inlineStr">
        <is>
          <t>Primary</t>
        </is>
      </c>
      <c r="G153" t="inlineStr">
        <is>
          <t>Internal investigation - not driven by 2nd-party reaction</t>
        </is>
      </c>
      <c r="H153" t="inlineStr">
        <is>
          <t>NetDiligence Cyber Claims Study 2025</t>
        </is>
      </c>
      <c r="I153" t="inlineStr">
        <is>
          <t>Table 6</t>
        </is>
      </c>
      <c r="J153" t="inlineStr">
        <is>
          <t>All Sectors (SME), 2020-2024 aggregate. Published Total Crisis Costs for this sector: $86,000 (may differ from the sum of these 5 average components - not every claim incurs every cost type; this total is a citation reference only, not used in any calculation).</t>
        </is>
      </c>
      <c r="L153" t="inlineStr">
        <is>
          <t>Hospitality</t>
        </is>
      </c>
    </row>
    <row r="154">
      <c r="A154" t="inlineStr">
        <is>
          <t>Credit Monitoring</t>
        </is>
      </c>
      <c r="C154" t="n">
        <v>12000</v>
      </c>
      <c r="E154" t="inlineStr">
        <is>
          <t>USD</t>
        </is>
      </c>
      <c r="F154" t="inlineStr">
        <is>
          <t>Secondary</t>
        </is>
      </c>
      <c r="G154" t="inlineStr">
        <is>
          <t>Offered to affected data subjects (2nd-party stakeholder response)</t>
        </is>
      </c>
      <c r="H154" t="inlineStr">
        <is>
          <t>NetDiligence Cyber Claims Study 2025</t>
        </is>
      </c>
      <c r="I154" t="inlineStr">
        <is>
          <t>Table 6</t>
        </is>
      </c>
      <c r="J154" t="inlineStr">
        <is>
          <t>All Sectors (SME), 2020-2024 aggregate. Published Total Crisis Costs for this sector: $86,000 (may differ from the sum of these 5 average components - not every claim incurs every cost type; this total is a citation reference only, not used in any calculation).</t>
        </is>
      </c>
      <c r="L154" t="inlineStr">
        <is>
          <t>Hospitality</t>
        </is>
      </c>
    </row>
    <row r="155">
      <c r="A155" t="inlineStr">
        <is>
          <t>Notification</t>
        </is>
      </c>
      <c r="C155" t="n">
        <v>3000</v>
      </c>
      <c r="E155" t="inlineStr">
        <is>
          <t>USD</t>
        </is>
      </c>
      <c r="F155" t="inlineStr">
        <is>
          <t>Secondary</t>
        </is>
      </c>
      <c r="G155" t="inlineStr">
        <is>
          <t>Communication to affected data subjects/regulators</t>
        </is>
      </c>
      <c r="H155" t="inlineStr">
        <is>
          <t>NetDiligence Cyber Claims Study 2025</t>
        </is>
      </c>
      <c r="I155" t="inlineStr">
        <is>
          <t>Table 6</t>
        </is>
      </c>
      <c r="J155" t="inlineStr">
        <is>
          <t>All Sectors (SME), 2020-2024 aggregate. Published Total Crisis Costs for this sector: $86,000 (may differ from the sum of these 5 average components - not every claim incurs every cost type; this total is a citation reference only, not used in any calculation).</t>
        </is>
      </c>
      <c r="L155" t="inlineStr">
        <is>
          <t>Hospitality</t>
        </is>
      </c>
    </row>
    <row r="156">
      <c r="A156" t="inlineStr">
        <is>
          <t>Legal Guidance</t>
        </is>
      </c>
      <c r="C156" t="n">
        <v>14000</v>
      </c>
      <c r="E156" t="inlineStr">
        <is>
          <t>USD</t>
        </is>
      </c>
      <c r="F156" t="inlineStr">
        <is>
          <t>Secondary</t>
        </is>
      </c>
      <c r="G156" t="inlineStr">
        <is>
          <t>Regulatory/legal counsel engaged due to external stakeholder exposure</t>
        </is>
      </c>
      <c r="H156" t="inlineStr">
        <is>
          <t>NetDiligence Cyber Claims Study 2025</t>
        </is>
      </c>
      <c r="I156" t="inlineStr">
        <is>
          <t>Table 6</t>
        </is>
      </c>
      <c r="J156" t="inlineStr">
        <is>
          <t>All Sectors (SME), 2020-2024 aggregate. Published Total Crisis Costs for this sector: $86,000 (may differ from the sum of these 5 average components - not every claim incurs every cost type; this total is a citation reference only, not used in any calculation).</t>
        </is>
      </c>
      <c r="L156" t="inlineStr">
        <is>
          <t>Hospitality</t>
        </is>
      </c>
    </row>
    <row r="157">
      <c r="A157" t="inlineStr">
        <is>
          <t>Other Crisis Services</t>
        </is>
      </c>
      <c r="C157" t="n">
        <v>78000</v>
      </c>
      <c r="E157" t="inlineStr">
        <is>
          <t>USD</t>
        </is>
      </c>
      <c r="F157" t="inlineStr">
        <is>
          <t>Mixed/Unclassified</t>
        </is>
      </c>
      <c r="G157" t="inlineStr">
        <is>
          <t>Undisclosed composition - cannot be confidently split</t>
        </is>
      </c>
      <c r="H157" t="inlineStr">
        <is>
          <t>NetDiligence Cyber Claims Study 2025</t>
        </is>
      </c>
      <c r="I157" t="inlineStr">
        <is>
          <t>Table 6</t>
        </is>
      </c>
      <c r="J157" t="inlineStr">
        <is>
          <t>All Sectors (SME), 2020-2024 aggregate. Published Total Crisis Costs for this sector: $86,000 (may differ from the sum of these 5 average components - not every claim incurs every cost type; this total is a citation reference only, not used in any calculation).</t>
        </is>
      </c>
      <c r="L157" t="inlineStr">
        <is>
          <t>Hospitality</t>
        </is>
      </c>
    </row>
    <row r="158">
      <c r="A158" t="inlineStr">
        <is>
          <t>Forensics</t>
        </is>
      </c>
      <c r="C158" t="n">
        <v>57000</v>
      </c>
      <c r="E158" t="inlineStr">
        <is>
          <t>USD</t>
        </is>
      </c>
      <c r="F158" t="inlineStr">
        <is>
          <t>Primary</t>
        </is>
      </c>
      <c r="G158" t="inlineStr">
        <is>
          <t>Internal investigation - not driven by 2nd-party reaction</t>
        </is>
      </c>
      <c r="H158" t="inlineStr">
        <is>
          <t>NetDiligence Cyber Claims Study 2025</t>
        </is>
      </c>
      <c r="I158" t="inlineStr">
        <is>
          <t>Table 6</t>
        </is>
      </c>
      <c r="J158" t="inlineStr">
        <is>
          <t>All Sectors (SME), 2020-2024 aggregate. Published Total Crisis Costs for this sector: $171,000 (may differ from the sum of these 5 average components - not every claim incurs every cost type; this total is a citation reference only, not used in any calculation).</t>
        </is>
      </c>
      <c r="L158" t="inlineStr">
        <is>
          <t>Professional Services</t>
        </is>
      </c>
    </row>
    <row r="159">
      <c r="A159" t="inlineStr">
        <is>
          <t>Credit Monitoring</t>
        </is>
      </c>
      <c r="C159" t="n">
        <v>79000</v>
      </c>
      <c r="E159" t="inlineStr">
        <is>
          <t>USD</t>
        </is>
      </c>
      <c r="F159" t="inlineStr">
        <is>
          <t>Secondary</t>
        </is>
      </c>
      <c r="G159" t="inlineStr">
        <is>
          <t>Offered to affected data subjects (2nd-party stakeholder response)</t>
        </is>
      </c>
      <c r="H159" t="inlineStr">
        <is>
          <t>NetDiligence Cyber Claims Study 2025</t>
        </is>
      </c>
      <c r="I159" t="inlineStr">
        <is>
          <t>Table 6</t>
        </is>
      </c>
      <c r="J159" t="inlineStr">
        <is>
          <t>All Sectors (SME), 2020-2024 aggregate. Published Total Crisis Costs for this sector: $171,000 (may differ from the sum of these 5 average components - not every claim incurs every cost type; this total is a citation reference only, not used in any calculation).</t>
        </is>
      </c>
      <c r="L159" t="inlineStr">
        <is>
          <t>Professional Services</t>
        </is>
      </c>
    </row>
    <row r="160">
      <c r="A160" t="inlineStr">
        <is>
          <t>Notification</t>
        </is>
      </c>
      <c r="C160" t="n">
        <v>17000</v>
      </c>
      <c r="E160" t="inlineStr">
        <is>
          <t>USD</t>
        </is>
      </c>
      <c r="F160" t="inlineStr">
        <is>
          <t>Secondary</t>
        </is>
      </c>
      <c r="G160" t="inlineStr">
        <is>
          <t>Communication to affected data subjects/regulators</t>
        </is>
      </c>
      <c r="H160" t="inlineStr">
        <is>
          <t>NetDiligence Cyber Claims Study 2025</t>
        </is>
      </c>
      <c r="I160" t="inlineStr">
        <is>
          <t>Table 6</t>
        </is>
      </c>
      <c r="J160" t="inlineStr">
        <is>
          <t>All Sectors (SME), 2020-2024 aggregate. Published Total Crisis Costs for this sector: $171,000 (may differ from the sum of these 5 average components - not every claim incurs every cost type; this total is a citation reference only, not used in any calculation).</t>
        </is>
      </c>
      <c r="L160" t="inlineStr">
        <is>
          <t>Professional Services</t>
        </is>
      </c>
    </row>
    <row r="161">
      <c r="A161" t="inlineStr">
        <is>
          <t>Legal Guidance</t>
        </is>
      </c>
      <c r="C161" t="n">
        <v>34000</v>
      </c>
      <c r="E161" t="inlineStr">
        <is>
          <t>USD</t>
        </is>
      </c>
      <c r="F161" t="inlineStr">
        <is>
          <t>Secondary</t>
        </is>
      </c>
      <c r="G161" t="inlineStr">
        <is>
          <t>Regulatory/legal counsel engaged due to external stakeholder exposure</t>
        </is>
      </c>
      <c r="H161" t="inlineStr">
        <is>
          <t>NetDiligence Cyber Claims Study 2025</t>
        </is>
      </c>
      <c r="I161" t="inlineStr">
        <is>
          <t>Table 6</t>
        </is>
      </c>
      <c r="J161" t="inlineStr">
        <is>
          <t>All Sectors (SME), 2020-2024 aggregate. Published Total Crisis Costs for this sector: $171,000 (may differ from the sum of these 5 average components - not every claim incurs every cost type; this total is a citation reference only, not used in any calculation).</t>
        </is>
      </c>
      <c r="L161" t="inlineStr">
        <is>
          <t>Professional Services</t>
        </is>
      </c>
    </row>
    <row r="162">
      <c r="A162" t="inlineStr">
        <is>
          <t>Other Crisis Services</t>
        </is>
      </c>
      <c r="C162" t="n">
        <v>187000</v>
      </c>
      <c r="E162" t="inlineStr">
        <is>
          <t>USD</t>
        </is>
      </c>
      <c r="F162" t="inlineStr">
        <is>
          <t>Mixed/Unclassified</t>
        </is>
      </c>
      <c r="G162" t="inlineStr">
        <is>
          <t>Undisclosed composition - cannot be confidently split</t>
        </is>
      </c>
      <c r="H162" t="inlineStr">
        <is>
          <t>NetDiligence Cyber Claims Study 2025</t>
        </is>
      </c>
      <c r="I162" t="inlineStr">
        <is>
          <t>Table 6</t>
        </is>
      </c>
      <c r="J162" t="inlineStr">
        <is>
          <t>All Sectors (SME), 2020-2024 aggregate. Published Total Crisis Costs for this sector: $171,000 (may differ from the sum of these 5 average components - not every claim incurs every cost type; this total is a citation reference only, not used in any calculation).</t>
        </is>
      </c>
      <c r="L162" t="inlineStr">
        <is>
          <t>Professional Services</t>
        </is>
      </c>
    </row>
    <row r="163">
      <c r="A163" t="inlineStr">
        <is>
          <t>Forensics</t>
        </is>
      </c>
      <c r="C163" t="n">
        <v>65000</v>
      </c>
      <c r="E163" t="inlineStr">
        <is>
          <t>USD</t>
        </is>
      </c>
      <c r="F163" t="inlineStr">
        <is>
          <t>Primary</t>
        </is>
      </c>
      <c r="G163" t="inlineStr">
        <is>
          <t>Internal investigation - not driven by 2nd-party reaction</t>
        </is>
      </c>
      <c r="H163" t="inlineStr">
        <is>
          <t>NetDiligence Cyber Claims Study 2025</t>
        </is>
      </c>
      <c r="I163" t="inlineStr">
        <is>
          <t>Table 6</t>
        </is>
      </c>
      <c r="J163" t="inlineStr">
        <is>
          <t>Sector labeled 'Public Entity' in the source table; matched to RiskSync industry 'Public / Government'. All Sectors (SME), 2020-2024 aggregate. Published Total Crisis Costs for this sector: $123,000 (may differ from the sum of these 5 average components - not every claim incurs every cost type; this total is a citation reference only, not used in any calculation).</t>
        </is>
      </c>
      <c r="L163" t="inlineStr">
        <is>
          <t>Public / Government</t>
        </is>
      </c>
    </row>
    <row r="164">
      <c r="A164" t="inlineStr">
        <is>
          <t>Credit Monitoring</t>
        </is>
      </c>
      <c r="C164" t="n">
        <v>54000</v>
      </c>
      <c r="E164" t="inlineStr">
        <is>
          <t>USD</t>
        </is>
      </c>
      <c r="F164" t="inlineStr">
        <is>
          <t>Secondary</t>
        </is>
      </c>
      <c r="G164" t="inlineStr">
        <is>
          <t>Offered to affected data subjects (2nd-party stakeholder response)</t>
        </is>
      </c>
      <c r="H164" t="inlineStr">
        <is>
          <t>NetDiligence Cyber Claims Study 2025</t>
        </is>
      </c>
      <c r="I164" t="inlineStr">
        <is>
          <t>Table 6</t>
        </is>
      </c>
      <c r="J164" t="inlineStr">
        <is>
          <t>Sector labeled 'Public Entity' in the source table; matched to RiskSync industry 'Public / Government'. All Sectors (SME), 2020-2024 aggregate. Published Total Crisis Costs for this sector: $123,000 (may differ from the sum of these 5 average components - not every claim incurs every cost type; this total is a citation reference only, not used in any calculation).</t>
        </is>
      </c>
      <c r="L164" t="inlineStr">
        <is>
          <t>Public / Government</t>
        </is>
      </c>
    </row>
    <row r="165">
      <c r="A165" t="inlineStr">
        <is>
          <t>Notification</t>
        </is>
      </c>
      <c r="C165" t="n">
        <v>27000</v>
      </c>
      <c r="E165" t="inlineStr">
        <is>
          <t>USD</t>
        </is>
      </c>
      <c r="F165" t="inlineStr">
        <is>
          <t>Secondary</t>
        </is>
      </c>
      <c r="G165" t="inlineStr">
        <is>
          <t>Communication to affected data subjects/regulators</t>
        </is>
      </c>
      <c r="H165" t="inlineStr">
        <is>
          <t>NetDiligence Cyber Claims Study 2025</t>
        </is>
      </c>
      <c r="I165" t="inlineStr">
        <is>
          <t>Table 6</t>
        </is>
      </c>
      <c r="J165" t="inlineStr">
        <is>
          <t>Sector labeled 'Public Entity' in the source table; matched to RiskSync industry 'Public / Government'. All Sectors (SME), 2020-2024 aggregate. Published Total Crisis Costs for this sector: $123,000 (may differ from the sum of these 5 average components - not every claim incurs every cost type; this total is a citation reference only, not used in any calculation).</t>
        </is>
      </c>
      <c r="L165" t="inlineStr">
        <is>
          <t>Public / Government</t>
        </is>
      </c>
    </row>
    <row r="166">
      <c r="A166" t="inlineStr">
        <is>
          <t>Legal Guidance</t>
        </is>
      </c>
      <c r="C166" t="n">
        <v>33000</v>
      </c>
      <c r="E166" t="inlineStr">
        <is>
          <t>USD</t>
        </is>
      </c>
      <c r="F166" t="inlineStr">
        <is>
          <t>Secondary</t>
        </is>
      </c>
      <c r="G166" t="inlineStr">
        <is>
          <t>Regulatory/legal counsel engaged due to external stakeholder exposure</t>
        </is>
      </c>
      <c r="H166" t="inlineStr">
        <is>
          <t>NetDiligence Cyber Claims Study 2025</t>
        </is>
      </c>
      <c r="I166" t="inlineStr">
        <is>
          <t>Table 6</t>
        </is>
      </c>
      <c r="J166" t="inlineStr">
        <is>
          <t>Sector labeled 'Public Entity' in the source table; matched to RiskSync industry 'Public / Government'. All Sectors (SME), 2020-2024 aggregate. Published Total Crisis Costs for this sector: $123,000 (may differ from the sum of these 5 average components - not every claim incurs every cost type; this total is a citation reference only, not used in any calculation).</t>
        </is>
      </c>
      <c r="L166" t="inlineStr">
        <is>
          <t>Public / Government</t>
        </is>
      </c>
    </row>
    <row r="167">
      <c r="A167" t="inlineStr">
        <is>
          <t>Other Crisis Services</t>
        </is>
      </c>
      <c r="C167" t="n">
        <v>131000</v>
      </c>
      <c r="E167" t="inlineStr">
        <is>
          <t>USD</t>
        </is>
      </c>
      <c r="F167" t="inlineStr">
        <is>
          <t>Mixed/Unclassified</t>
        </is>
      </c>
      <c r="G167" t="inlineStr">
        <is>
          <t>Undisclosed composition - cannot be confidently split</t>
        </is>
      </c>
      <c r="H167" t="inlineStr">
        <is>
          <t>NetDiligence Cyber Claims Study 2025</t>
        </is>
      </c>
      <c r="I167" t="inlineStr">
        <is>
          <t>Table 6</t>
        </is>
      </c>
      <c r="J167" t="inlineStr">
        <is>
          <t>Sector labeled 'Public Entity' in the source table; matched to RiskSync industry 'Public / Government'. All Sectors (SME), 2020-2024 aggregate. Published Total Crisis Costs for this sector: $123,000 (may differ from the sum of these 5 average components - not every claim incurs every cost type; this total is a citation reference only, not used in any calculation).</t>
        </is>
      </c>
      <c r="L167" t="inlineStr">
        <is>
          <t>Public / Government</t>
        </is>
      </c>
    </row>
    <row r="168">
      <c r="A168" t="inlineStr">
        <is>
          <t>Forensics</t>
        </is>
      </c>
      <c r="C168" t="n">
        <v>52000</v>
      </c>
      <c r="E168" t="inlineStr">
        <is>
          <t>USD</t>
        </is>
      </c>
      <c r="F168" t="inlineStr">
        <is>
          <t>Primary</t>
        </is>
      </c>
      <c r="G168" t="inlineStr">
        <is>
          <t>Internal investigation - not driven by 2nd-party reaction</t>
        </is>
      </c>
      <c r="H168" t="inlineStr">
        <is>
          <t>NetDiligence Cyber Claims Study 2025</t>
        </is>
      </c>
      <c r="I168" t="inlineStr">
        <is>
          <t>Table 6</t>
        </is>
      </c>
      <c r="J168" t="inlineStr">
        <is>
          <t>All Sectors (SME), 2020-2024 aggregate. Published Total Crisis Costs for this sector: $112,000 (may differ from the sum of these 5 average components - not every claim incurs every cost type; this total is a citation reference only, not used in any calculation).</t>
        </is>
      </c>
      <c r="L168" t="inlineStr">
        <is>
          <t>Retail</t>
        </is>
      </c>
    </row>
    <row r="169">
      <c r="A169" t="inlineStr">
        <is>
          <t>Credit Monitoring</t>
        </is>
      </c>
      <c r="C169" t="n">
        <v>34000</v>
      </c>
      <c r="E169" t="inlineStr">
        <is>
          <t>USD</t>
        </is>
      </c>
      <c r="F169" t="inlineStr">
        <is>
          <t>Secondary</t>
        </is>
      </c>
      <c r="G169" t="inlineStr">
        <is>
          <t>Offered to affected data subjects (2nd-party stakeholder response)</t>
        </is>
      </c>
      <c r="H169" t="inlineStr">
        <is>
          <t>NetDiligence Cyber Claims Study 2025</t>
        </is>
      </c>
      <c r="I169" t="inlineStr">
        <is>
          <t>Table 6</t>
        </is>
      </c>
      <c r="J169" t="inlineStr">
        <is>
          <t>All Sectors (SME), 2020-2024 aggregate. Published Total Crisis Costs for this sector: $112,000 (may differ from the sum of these 5 average components - not every claim incurs every cost type; this total is a citation reference only, not used in any calculation).</t>
        </is>
      </c>
      <c r="L169" t="inlineStr">
        <is>
          <t>Retail</t>
        </is>
      </c>
    </row>
    <row r="170">
      <c r="A170" t="inlineStr">
        <is>
          <t>Notification</t>
        </is>
      </c>
      <c r="C170" t="n">
        <v>6000</v>
      </c>
      <c r="E170" t="inlineStr">
        <is>
          <t>USD</t>
        </is>
      </c>
      <c r="F170" t="inlineStr">
        <is>
          <t>Secondary</t>
        </is>
      </c>
      <c r="G170" t="inlineStr">
        <is>
          <t>Communication to affected data subjects/regulators</t>
        </is>
      </c>
      <c r="H170" t="inlineStr">
        <is>
          <t>NetDiligence Cyber Claims Study 2025</t>
        </is>
      </c>
      <c r="I170" t="inlineStr">
        <is>
          <t>Table 6</t>
        </is>
      </c>
      <c r="J170" t="inlineStr">
        <is>
          <t>All Sectors (SME), 2020-2024 aggregate. Published Total Crisis Costs for this sector: $112,000 (may differ from the sum of these 5 average components - not every claim incurs every cost type; this total is a citation reference only, not used in any calculation).</t>
        </is>
      </c>
      <c r="L170" t="inlineStr">
        <is>
          <t>Retail</t>
        </is>
      </c>
    </row>
    <row r="171">
      <c r="A171" t="inlineStr">
        <is>
          <t>Legal Guidance</t>
        </is>
      </c>
      <c r="C171" t="n">
        <v>23000</v>
      </c>
      <c r="E171" t="inlineStr">
        <is>
          <t>USD</t>
        </is>
      </c>
      <c r="F171" t="inlineStr">
        <is>
          <t>Secondary</t>
        </is>
      </c>
      <c r="G171" t="inlineStr">
        <is>
          <t>Regulatory/legal counsel engaged due to external stakeholder exposure</t>
        </is>
      </c>
      <c r="H171" t="inlineStr">
        <is>
          <t>NetDiligence Cyber Claims Study 2025</t>
        </is>
      </c>
      <c r="I171" t="inlineStr">
        <is>
          <t>Table 6</t>
        </is>
      </c>
      <c r="J171" t="inlineStr">
        <is>
          <t>All Sectors (SME), 2020-2024 aggregate. Published Total Crisis Costs for this sector: $112,000 (may differ from the sum of these 5 average components - not every claim incurs every cost type; this total is a citation reference only, not used in any calculation).</t>
        </is>
      </c>
      <c r="L171" t="inlineStr">
        <is>
          <t>Retail</t>
        </is>
      </c>
    </row>
    <row r="172">
      <c r="A172" t="inlineStr">
        <is>
          <t>Other Crisis Services</t>
        </is>
      </c>
      <c r="C172" t="n">
        <v>104000</v>
      </c>
      <c r="E172" t="inlineStr">
        <is>
          <t>USD</t>
        </is>
      </c>
      <c r="F172" t="inlineStr">
        <is>
          <t>Mixed/Unclassified</t>
        </is>
      </c>
      <c r="G172" t="inlineStr">
        <is>
          <t>Undisclosed composition - cannot be confidently split</t>
        </is>
      </c>
      <c r="H172" t="inlineStr">
        <is>
          <t>NetDiligence Cyber Claims Study 2025</t>
        </is>
      </c>
      <c r="I172" t="inlineStr">
        <is>
          <t>Table 6</t>
        </is>
      </c>
      <c r="J172" t="inlineStr">
        <is>
          <t>All Sectors (SME), 2020-2024 aggregate. Published Total Crisis Costs for this sector: $112,000 (may differ from the sum of these 5 average components - not every claim incurs every cost type; this total is a citation reference only, not used in any calculation).</t>
        </is>
      </c>
      <c r="L172" t="inlineStr">
        <is>
          <t>Retail</t>
        </is>
      </c>
    </row>
    <row r="173">
      <c r="A173" t="inlineStr">
        <is>
          <t>Forensics</t>
        </is>
      </c>
      <c r="C173" t="n">
        <v>83000</v>
      </c>
      <c r="E173" t="inlineStr">
        <is>
          <t>USD</t>
        </is>
      </c>
      <c r="F173" t="inlineStr">
        <is>
          <t>Primary</t>
        </is>
      </c>
      <c r="G173" t="inlineStr">
        <is>
          <t>Internal investigation - not driven by 2nd-party reaction</t>
        </is>
      </c>
      <c r="H173" t="inlineStr">
        <is>
          <t>NetDiligence Cyber Claims Study 2025</t>
        </is>
      </c>
      <c r="I173" t="inlineStr">
        <is>
          <t>Table 6</t>
        </is>
      </c>
      <c r="J173" t="inlineStr">
        <is>
          <t>Sector labeled 'Technology' in the source table; matched to RiskSync industry 'Information / Technology'. All Sectors (SME), 2020-2024 aggregate. Published Total Crisis Costs for this sector: $211,000 (may differ from the sum of these 5 average components - not every claim incurs every cost type; this total is a citation reference only, not used in any calculation).</t>
        </is>
      </c>
      <c r="L173" t="inlineStr">
        <is>
          <t>Information / Technology</t>
        </is>
      </c>
    </row>
    <row r="174">
      <c r="A174" t="inlineStr">
        <is>
          <t>Credit Monitoring</t>
        </is>
      </c>
      <c r="C174" t="n">
        <v>109000</v>
      </c>
      <c r="E174" t="inlineStr">
        <is>
          <t>USD</t>
        </is>
      </c>
      <c r="F174" t="inlineStr">
        <is>
          <t>Secondary</t>
        </is>
      </c>
      <c r="G174" t="inlineStr">
        <is>
          <t>Offered to affected data subjects (2nd-party stakeholder response)</t>
        </is>
      </c>
      <c r="H174" t="inlineStr">
        <is>
          <t>NetDiligence Cyber Claims Study 2025</t>
        </is>
      </c>
      <c r="I174" t="inlineStr">
        <is>
          <t>Table 6</t>
        </is>
      </c>
      <c r="J174" t="inlineStr">
        <is>
          <t>Sector labeled 'Technology' in the source table; matched to RiskSync industry 'Information / Technology'. All Sectors (SME), 2020-2024 aggregate. Published Total Crisis Costs for this sector: $211,000 (may differ from the sum of these 5 average components - not every claim incurs every cost type; this total is a citation reference only, not used in any calculation).</t>
        </is>
      </c>
      <c r="L174" t="inlineStr">
        <is>
          <t>Information / Technology</t>
        </is>
      </c>
    </row>
    <row r="175">
      <c r="A175" t="inlineStr">
        <is>
          <t>Notification</t>
        </is>
      </c>
      <c r="C175" t="n">
        <v>54000</v>
      </c>
      <c r="E175" t="inlineStr">
        <is>
          <t>USD</t>
        </is>
      </c>
      <c r="F175" t="inlineStr">
        <is>
          <t>Secondary</t>
        </is>
      </c>
      <c r="G175" t="inlineStr">
        <is>
          <t>Communication to affected data subjects/regulators</t>
        </is>
      </c>
      <c r="H175" t="inlineStr">
        <is>
          <t>NetDiligence Cyber Claims Study 2025</t>
        </is>
      </c>
      <c r="I175" t="inlineStr">
        <is>
          <t>Table 6</t>
        </is>
      </c>
      <c r="J175" t="inlineStr">
        <is>
          <t>Sector labeled 'Technology' in the source table; matched to RiskSync industry 'Information / Technology'. All Sectors (SME), 2020-2024 aggregate. Published Total Crisis Costs for this sector: $211,000 (may differ from the sum of these 5 average components - not every claim incurs every cost type; this total is a citation reference only, not used in any calculation).</t>
        </is>
      </c>
      <c r="L175" t="inlineStr">
        <is>
          <t>Information / Technology</t>
        </is>
      </c>
    </row>
    <row r="176">
      <c r="A176" t="inlineStr">
        <is>
          <t>Legal Guidance</t>
        </is>
      </c>
      <c r="C176" t="n">
        <v>48000</v>
      </c>
      <c r="E176" t="inlineStr">
        <is>
          <t>USD</t>
        </is>
      </c>
      <c r="F176" t="inlineStr">
        <is>
          <t>Secondary</t>
        </is>
      </c>
      <c r="G176" t="inlineStr">
        <is>
          <t>Regulatory/legal counsel engaged due to external stakeholder exposure</t>
        </is>
      </c>
      <c r="H176" t="inlineStr">
        <is>
          <t>NetDiligence Cyber Claims Study 2025</t>
        </is>
      </c>
      <c r="I176" t="inlineStr">
        <is>
          <t>Table 6</t>
        </is>
      </c>
      <c r="J176" t="inlineStr">
        <is>
          <t>Sector labeled 'Technology' in the source table; matched to RiskSync industry 'Information / Technology'. All Sectors (SME), 2020-2024 aggregate. Published Total Crisis Costs for this sector: $211,000 (may differ from the sum of these 5 average components - not every claim incurs every cost type; this total is a citation reference only, not used in any calculation).</t>
        </is>
      </c>
      <c r="L176" t="inlineStr">
        <is>
          <t>Information / Technology</t>
        </is>
      </c>
    </row>
    <row r="177">
      <c r="A177" t="inlineStr">
        <is>
          <t>Other Crisis Services</t>
        </is>
      </c>
      <c r="C177" t="n">
        <v>102000</v>
      </c>
      <c r="E177" t="inlineStr">
        <is>
          <t>USD</t>
        </is>
      </c>
      <c r="F177" t="inlineStr">
        <is>
          <t>Mixed/Unclassified</t>
        </is>
      </c>
      <c r="G177" t="inlineStr">
        <is>
          <t>Undisclosed composition - cannot be confidently split</t>
        </is>
      </c>
      <c r="H177" t="inlineStr">
        <is>
          <t>NetDiligence Cyber Claims Study 2025</t>
        </is>
      </c>
      <c r="I177" t="inlineStr">
        <is>
          <t>Table 6</t>
        </is>
      </c>
      <c r="J177" t="inlineStr">
        <is>
          <t>Sector labeled 'Technology' in the source table; matched to RiskSync industry 'Information / Technology'. All Sectors (SME), 2020-2024 aggregate. Published Total Crisis Costs for this sector: $211,000 (may differ from the sum of these 5 average components - not every claim incurs every cost type; this total is a citation reference only, not used in any calculation).</t>
        </is>
      </c>
      <c r="L177" t="inlineStr">
        <is>
          <t>Information / Technology</t>
        </is>
      </c>
    </row>
    <row r="178">
      <c r="A178" t="inlineStr">
        <is>
          <t>Forensics</t>
        </is>
      </c>
      <c r="C178" t="n">
        <v>60000</v>
      </c>
      <c r="E178" t="inlineStr">
        <is>
          <t>USD</t>
        </is>
      </c>
      <c r="F178" t="inlineStr">
        <is>
          <t>Primary</t>
        </is>
      </c>
      <c r="G178" t="inlineStr">
        <is>
          <t>Internal investigation - not driven by 2nd-party reaction</t>
        </is>
      </c>
      <c r="H178" t="inlineStr">
        <is>
          <t>NetDiligence Cyber Claims Study 2025</t>
        </is>
      </c>
      <c r="I178" t="inlineStr">
        <is>
          <t>Table 6</t>
        </is>
      </c>
      <c r="J178" t="inlineStr">
        <is>
          <t>All Sectors (SME), 2020-2024 aggregate. Published Total Crisis Costs for this sector: $241,000 (may differ from the sum of these 5 average components - not every claim incurs every cost type; this total is a citation reference only, not used in any calculation).</t>
        </is>
      </c>
      <c r="L178" t="inlineStr">
        <is>
          <t>Transportation</t>
        </is>
      </c>
    </row>
    <row r="179">
      <c r="A179" t="inlineStr">
        <is>
          <t>Credit Monitoring</t>
        </is>
      </c>
      <c r="C179" t="n">
        <v>7000</v>
      </c>
      <c r="E179" t="inlineStr">
        <is>
          <t>USD</t>
        </is>
      </c>
      <c r="F179" t="inlineStr">
        <is>
          <t>Secondary</t>
        </is>
      </c>
      <c r="G179" t="inlineStr">
        <is>
          <t>Offered to affected data subjects (2nd-party stakeholder response)</t>
        </is>
      </c>
      <c r="H179" t="inlineStr">
        <is>
          <t>NetDiligence Cyber Claims Study 2025</t>
        </is>
      </c>
      <c r="I179" t="inlineStr">
        <is>
          <t>Table 6</t>
        </is>
      </c>
      <c r="J179" t="inlineStr">
        <is>
          <t>All Sectors (SME), 2020-2024 aggregate. Published Total Crisis Costs for this sector: $241,000 (may differ from the sum of these 5 average components - not every claim incurs every cost type; this total is a citation reference only, not used in any calculation).</t>
        </is>
      </c>
      <c r="L179" t="inlineStr">
        <is>
          <t>Transportation</t>
        </is>
      </c>
    </row>
    <row r="180">
      <c r="A180" t="inlineStr">
        <is>
          <t>Notification</t>
        </is>
      </c>
      <c r="C180" t="n">
        <v>4000</v>
      </c>
      <c r="E180" t="inlineStr">
        <is>
          <t>USD</t>
        </is>
      </c>
      <c r="F180" t="inlineStr">
        <is>
          <t>Secondary</t>
        </is>
      </c>
      <c r="G180" t="inlineStr">
        <is>
          <t>Communication to affected data subjects/regulators</t>
        </is>
      </c>
      <c r="H180" t="inlineStr">
        <is>
          <t>NetDiligence Cyber Claims Study 2025</t>
        </is>
      </c>
      <c r="I180" t="inlineStr">
        <is>
          <t>Table 6</t>
        </is>
      </c>
      <c r="J180" t="inlineStr">
        <is>
          <t>All Sectors (SME), 2020-2024 aggregate. Published Total Crisis Costs for this sector: $241,000 (may differ from the sum of these 5 average components - not every claim incurs every cost type; this total is a citation reference only, not used in any calculation).</t>
        </is>
      </c>
      <c r="L180" t="inlineStr">
        <is>
          <t>Transportation</t>
        </is>
      </c>
    </row>
    <row r="181">
      <c r="A181" t="inlineStr">
        <is>
          <t>Legal Guidance</t>
        </is>
      </c>
      <c r="C181" t="n">
        <v>42000</v>
      </c>
      <c r="E181" t="inlineStr">
        <is>
          <t>USD</t>
        </is>
      </c>
      <c r="F181" t="inlineStr">
        <is>
          <t>Secondary</t>
        </is>
      </c>
      <c r="G181" t="inlineStr">
        <is>
          <t>Regulatory/legal counsel engaged due to external stakeholder exposure</t>
        </is>
      </c>
      <c r="H181" t="inlineStr">
        <is>
          <t>NetDiligence Cyber Claims Study 2025</t>
        </is>
      </c>
      <c r="I181" t="inlineStr">
        <is>
          <t>Table 6</t>
        </is>
      </c>
      <c r="J181" t="inlineStr">
        <is>
          <t>All Sectors (SME), 2020-2024 aggregate. Published Total Crisis Costs for this sector: $241,000 (may differ from the sum of these 5 average components - not every claim incurs every cost type; this total is a citation reference only, not used in any calculation).</t>
        </is>
      </c>
      <c r="L181" t="inlineStr">
        <is>
          <t>Transportation</t>
        </is>
      </c>
    </row>
    <row r="182">
      <c r="A182" t="inlineStr">
        <is>
          <t>Other Crisis Services</t>
        </is>
      </c>
      <c r="C182" t="n">
        <v>164000</v>
      </c>
      <c r="E182" t="inlineStr">
        <is>
          <t>USD</t>
        </is>
      </c>
      <c r="F182" t="inlineStr">
        <is>
          <t>Mixed/Unclassified</t>
        </is>
      </c>
      <c r="G182" t="inlineStr">
        <is>
          <t>Undisclosed composition - cannot be confidently split</t>
        </is>
      </c>
      <c r="H182" t="inlineStr">
        <is>
          <t>NetDiligence Cyber Claims Study 2025</t>
        </is>
      </c>
      <c r="I182" t="inlineStr">
        <is>
          <t>Table 6</t>
        </is>
      </c>
      <c r="J182" t="inlineStr">
        <is>
          <t>All Sectors (SME), 2020-2024 aggregate. Published Total Crisis Costs for this sector: $241,000 (may differ from the sum of these 5 average components - not every claim incurs every cost type; this total is a citation reference only, not used in any calculation).</t>
        </is>
      </c>
      <c r="L182" t="inlineStr">
        <is>
          <t>Transportation</t>
        </is>
      </c>
    </row>
    <row r="184">
      <c r="A184" s="10" t="inlineStr">
        <is>
          <t>LIMITATION: Manufacturing's component breakdown (rows above) comes from a specialized single-industry report (NetDiligence Manufacturing Insights 2025) with Min/Max detail; the other 11 sectors below it come from the general NetDiligence Cyber Claims Study 2025 Table 6 (Avg only, no Min/Max). Table A above (industry-wide Avg_Incident_Cost) does not have this component-level granularity for the remaining industries not listed in either source.</t>
        </is>
      </c>
    </row>
    <row r="186">
      <c r="A186" t="inlineStr">
        <is>
          <t>Year-by-Year Trend Data (for Mean vs. worst-observed-year toggle, Layer 2 UI)</t>
        </is>
      </c>
    </row>
    <row r="188">
      <c r="A188" t="inlineStr">
        <is>
          <t>BI_Yearly</t>
        </is>
      </c>
      <c r="B188" t="inlineStr">
        <is>
          <t>Year</t>
        </is>
      </c>
      <c r="C188" t="inlineStr">
        <is>
          <t>Incident_Cost</t>
        </is>
      </c>
      <c r="D188" t="inlineStr">
        <is>
          <t>BI_Cost</t>
        </is>
      </c>
      <c r="E188" t="inlineStr">
        <is>
          <t>Currency</t>
        </is>
      </c>
      <c r="F188" t="inlineStr">
        <is>
          <t>Source_Section</t>
        </is>
      </c>
    </row>
    <row r="189">
      <c r="A189" t="inlineStr">
        <is>
          <t>BI_Yearly</t>
        </is>
      </c>
      <c r="B189" t="n">
        <v>2020</v>
      </c>
      <c r="C189" t="n">
        <v>879000</v>
      </c>
      <c r="D189" t="n">
        <v>393000</v>
      </c>
      <c r="E189" t="inlineStr">
        <is>
          <t>USD</t>
        </is>
      </c>
      <c r="F189" t="inlineStr">
        <is>
          <t>Figure 18</t>
        </is>
      </c>
    </row>
    <row r="190">
      <c r="A190" t="inlineStr">
        <is>
          <t>BI_Yearly</t>
        </is>
      </c>
      <c r="B190" t="n">
        <v>2021</v>
      </c>
      <c r="C190" t="n">
        <v>1300000</v>
      </c>
      <c r="D190" t="n">
        <v>683000</v>
      </c>
      <c r="E190" t="inlineStr">
        <is>
          <t>USD</t>
        </is>
      </c>
      <c r="F190" t="inlineStr">
        <is>
          <t>Figure 18</t>
        </is>
      </c>
    </row>
    <row r="191">
      <c r="A191" t="inlineStr">
        <is>
          <t>BI_Yearly</t>
        </is>
      </c>
      <c r="B191" t="n">
        <v>2022</v>
      </c>
      <c r="C191" t="n">
        <v>7100000</v>
      </c>
      <c r="D191" t="n">
        <v>5300000</v>
      </c>
      <c r="E191" t="inlineStr">
        <is>
          <t>USD</t>
        </is>
      </c>
      <c r="F191" t="inlineStr">
        <is>
          <t>Figure 18</t>
        </is>
      </c>
    </row>
    <row r="192">
      <c r="A192" t="inlineStr">
        <is>
          <t>BI_Yearly</t>
        </is>
      </c>
      <c r="B192" t="n">
        <v>2023</v>
      </c>
      <c r="C192" t="n">
        <v>1400000</v>
      </c>
      <c r="D192" t="n">
        <v>811000</v>
      </c>
      <c r="E192" t="inlineStr">
        <is>
          <t>USD</t>
        </is>
      </c>
      <c r="F192" t="inlineStr">
        <is>
          <t>Figure 18</t>
        </is>
      </c>
    </row>
    <row r="193">
      <c r="A193" t="inlineStr">
        <is>
          <t>BI_Yearly</t>
        </is>
      </c>
      <c r="B193" t="n">
        <v>2024</v>
      </c>
      <c r="C193" t="n">
        <v>630000</v>
      </c>
      <c r="D193" t="n">
        <v>611000</v>
      </c>
      <c r="E193" t="inlineStr">
        <is>
          <t>USD</t>
        </is>
      </c>
      <c r="F193" t="inlineStr">
        <is>
          <t>Figure 18</t>
        </is>
      </c>
    </row>
    <row r="195">
      <c r="A195" t="inlineStr">
        <is>
          <t>Recovery_Yearly</t>
        </is>
      </c>
      <c r="B195" t="inlineStr">
        <is>
          <t>Year</t>
        </is>
      </c>
      <c r="C195" t="inlineStr">
        <is>
          <t>Incident_Cost</t>
        </is>
      </c>
      <c r="D195" t="inlineStr">
        <is>
          <t>Recovery_Expense</t>
        </is>
      </c>
      <c r="E195" t="inlineStr">
        <is>
          <t>Currency</t>
        </is>
      </c>
      <c r="F195" t="inlineStr">
        <is>
          <t>Source_Section</t>
        </is>
      </c>
    </row>
    <row r="196">
      <c r="A196" t="inlineStr">
        <is>
          <t>Recovery_Yearly</t>
        </is>
      </c>
      <c r="B196" t="n">
        <v>2020</v>
      </c>
      <c r="C196" t="n">
        <v>428000</v>
      </c>
      <c r="D196" t="n">
        <v>53000</v>
      </c>
      <c r="E196" t="inlineStr">
        <is>
          <t>USD</t>
        </is>
      </c>
      <c r="F196" t="inlineStr">
        <is>
          <t>Figure 20, p.19</t>
        </is>
      </c>
    </row>
    <row r="197">
      <c r="A197" t="inlineStr">
        <is>
          <t>Recovery_Yearly</t>
        </is>
      </c>
      <c r="B197" t="n">
        <v>2021</v>
      </c>
      <c r="C197" t="n">
        <v>1200000</v>
      </c>
      <c r="D197" t="n">
        <v>96000</v>
      </c>
      <c r="E197" t="inlineStr">
        <is>
          <t>USD</t>
        </is>
      </c>
      <c r="F197" t="inlineStr">
        <is>
          <t>Figure 20, p.19</t>
        </is>
      </c>
    </row>
    <row r="198">
      <c r="A198" t="inlineStr">
        <is>
          <t>Recovery_Yearly</t>
        </is>
      </c>
      <c r="B198" t="n">
        <v>2022</v>
      </c>
      <c r="C198" t="n">
        <v>1500000</v>
      </c>
      <c r="D198" t="n">
        <v>281000</v>
      </c>
      <c r="E198" t="inlineStr">
        <is>
          <t>USD</t>
        </is>
      </c>
      <c r="F198" t="inlineStr">
        <is>
          <t>Figure 20, p.19</t>
        </is>
      </c>
    </row>
    <row r="199">
      <c r="A199" t="inlineStr">
        <is>
          <t>Recovery_Yearly</t>
        </is>
      </c>
      <c r="B199" t="n">
        <v>2023</v>
      </c>
      <c r="C199" t="n">
        <v>959000</v>
      </c>
      <c r="D199" t="n">
        <v>221000</v>
      </c>
      <c r="E199" t="inlineStr">
        <is>
          <t>USD</t>
        </is>
      </c>
      <c r="F199" t="inlineStr">
        <is>
          <t>Figure 20, p.19</t>
        </is>
      </c>
    </row>
    <row r="200">
      <c r="A200" t="inlineStr">
        <is>
          <t>Recovery_Yearly</t>
        </is>
      </c>
      <c r="B200" t="n">
        <v>2024</v>
      </c>
      <c r="C200" t="n">
        <v>313000</v>
      </c>
      <c r="D200" t="n">
        <v>45000</v>
      </c>
      <c r="E200" t="inlineStr">
        <is>
          <t>USD</t>
        </is>
      </c>
      <c r="F200" t="inlineStr">
        <is>
          <t>Figure 20, p.19</t>
        </is>
      </c>
    </row>
    <row r="202">
      <c r="A202" t="inlineStr">
        <is>
          <t>Legal_Yearly</t>
        </is>
      </c>
      <c r="B202" t="inlineStr">
        <is>
          <t>Year</t>
        </is>
      </c>
      <c r="C202" t="inlineStr">
        <is>
          <t>Settlement</t>
        </is>
      </c>
      <c r="D202" t="inlineStr">
        <is>
          <t>Defense</t>
        </is>
      </c>
      <c r="E202" t="inlineStr">
        <is>
          <t>Fines</t>
        </is>
      </c>
      <c r="F202" t="inlineStr">
        <is>
          <t>Reg_Defense</t>
        </is>
      </c>
      <c r="G202" t="inlineStr">
        <is>
          <t>Currency</t>
        </is>
      </c>
      <c r="H202" t="inlineStr">
        <is>
          <t>Source_Section</t>
        </is>
      </c>
    </row>
    <row r="203">
      <c r="A203" t="inlineStr">
        <is>
          <t>Legal_Yearly</t>
        </is>
      </c>
      <c r="B203" t="n">
        <v>2020</v>
      </c>
      <c r="C203" t="n">
        <v>58000</v>
      </c>
      <c r="D203" t="n">
        <v>361000</v>
      </c>
      <c r="E203" t="n">
        <v>8000</v>
      </c>
      <c r="F203" t="n">
        <v>0</v>
      </c>
      <c r="G203" t="inlineStr">
        <is>
          <t>USD</t>
        </is>
      </c>
      <c r="H203" t="inlineStr">
        <is>
          <t>Figure 21</t>
        </is>
      </c>
    </row>
    <row r="204">
      <c r="A204" t="inlineStr">
        <is>
          <t>Legal_Yearly</t>
        </is>
      </c>
      <c r="B204" t="n">
        <v>2021</v>
      </c>
      <c r="C204" t="n">
        <v>418000</v>
      </c>
      <c r="D204" t="n">
        <v>948000</v>
      </c>
      <c r="E204" t="n">
        <v>76000</v>
      </c>
      <c r="F204" t="n">
        <v>1000</v>
      </c>
      <c r="G204" t="inlineStr">
        <is>
          <t>USD</t>
        </is>
      </c>
      <c r="H204" t="inlineStr">
        <is>
          <t>Figure 21</t>
        </is>
      </c>
    </row>
    <row r="205">
      <c r="A205" t="inlineStr">
        <is>
          <t>Legal_Yearly</t>
        </is>
      </c>
      <c r="B205" t="n">
        <v>2022</v>
      </c>
      <c r="C205" t="n">
        <v>298000</v>
      </c>
      <c r="D205" t="n">
        <v>2600000</v>
      </c>
      <c r="E205" t="n">
        <v>132000</v>
      </c>
      <c r="F205" t="n">
        <v>0</v>
      </c>
      <c r="G205" t="inlineStr">
        <is>
          <t>USD</t>
        </is>
      </c>
      <c r="H205" t="inlineStr">
        <is>
          <t>Figure 21</t>
        </is>
      </c>
    </row>
    <row r="206">
      <c r="A206" t="inlineStr">
        <is>
          <t>Legal_Yearly</t>
        </is>
      </c>
      <c r="B206" t="n">
        <v>2023</v>
      </c>
      <c r="C206" t="n">
        <v>252000</v>
      </c>
      <c r="D206" t="n">
        <v>838000</v>
      </c>
      <c r="E206" t="n">
        <v>61000</v>
      </c>
      <c r="F206" t="n">
        <v>0</v>
      </c>
      <c r="G206" t="inlineStr">
        <is>
          <t>USD</t>
        </is>
      </c>
      <c r="H206" t="inlineStr">
        <is>
          <t>Figure 21</t>
        </is>
      </c>
    </row>
    <row r="207">
      <c r="A207" t="inlineStr">
        <is>
          <t>Legal_Yearly</t>
        </is>
      </c>
      <c r="B207" t="n">
        <v>2024</v>
      </c>
      <c r="C207" t="n">
        <v>76000</v>
      </c>
      <c r="D207" t="n">
        <v>445000</v>
      </c>
      <c r="E207" t="n">
        <v>190000</v>
      </c>
      <c r="F207" t="n">
        <v>0</v>
      </c>
      <c r="G207" t="inlineStr">
        <is>
          <t>USD</t>
        </is>
      </c>
      <c r="H207" t="inlineStr">
        <is>
          <t>Figure 21</t>
        </is>
      </c>
    </row>
    <row r="208"/>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0" customWidth="1" min="1" max="1"/>
    <col width="16" customWidth="1" min="2" max="2"/>
    <col width="16" customWidth="1" min="3" max="3"/>
    <col width="10" customWidth="1" min="4" max="4"/>
    <col width="60" customWidth="1" min="5" max="5"/>
  </cols>
  <sheetData>
    <row r="1">
      <c r="A1" s="1">
        <f>== TABLE A : Industry Average Total Cost ===</f>
        <v/>
      </c>
    </row>
    <row r="2">
      <c r="A2" s="2" t="inlineStr">
        <is>
          <t>Industry_ID</t>
        </is>
      </c>
      <c r="B2" s="2" t="inlineStr">
        <is>
          <t>Avg_Cost_2026</t>
        </is>
      </c>
      <c r="C2" s="2" t="inlineStr">
        <is>
          <t>Avg_Cost_2025</t>
        </is>
      </c>
      <c r="D2" s="2" t="inlineStr">
        <is>
          <t>Currency</t>
        </is>
      </c>
      <c r="E2" s="2" t="inlineStr">
        <is>
          <t>Source_Section</t>
        </is>
      </c>
    </row>
    <row r="3">
      <c r="A3" s="3" t="inlineStr">
        <is>
          <t>Overall (Global, All Industries)</t>
        </is>
      </c>
      <c r="B3" s="6" t="n">
        <v>4990000</v>
      </c>
      <c r="C3" s="6" t="n">
        <v>4440000</v>
      </c>
      <c r="D3" s="3" t="inlineStr">
        <is>
          <t>USD</t>
        </is>
      </c>
      <c r="E3" s="3" t="inlineStr">
        <is>
          <t>Figure 1 (Global average cost trend), p.11</t>
        </is>
      </c>
    </row>
    <row r="4">
      <c r="A4" s="3" t="inlineStr">
        <is>
          <t>Healthcare</t>
        </is>
      </c>
      <c r="B4" s="6" t="n">
        <v>6640000</v>
      </c>
      <c r="C4" s="6" t="n">
        <v>7420000</v>
      </c>
      <c r="D4" s="3" t="inlineStr">
        <is>
          <t>USD</t>
        </is>
      </c>
      <c r="E4" s="3" t="inlineStr">
        <is>
          <t>Figure 3 (Average total cost of a data breach by industry), p.13</t>
        </is>
      </c>
    </row>
    <row r="5">
      <c r="A5" s="3" t="inlineStr">
        <is>
          <t>Financial</t>
        </is>
      </c>
      <c r="B5" s="6" t="n">
        <v>6290000</v>
      </c>
      <c r="C5" s="6" t="n">
        <v>5560000</v>
      </c>
      <c r="D5" s="3" t="inlineStr">
        <is>
          <t>USD</t>
        </is>
      </c>
      <c r="E5" s="3" t="inlineStr">
        <is>
          <t>Figure 3 (Average total cost of a data breach by industry), p.13</t>
        </is>
      </c>
    </row>
    <row r="6">
      <c r="A6" s="3" t="inlineStr">
        <is>
          <t>Industrial</t>
        </is>
      </c>
      <c r="B6" s="6" t="n">
        <v>5500000</v>
      </c>
      <c r="C6" s="6" t="n">
        <v>5000000</v>
      </c>
      <c r="D6" s="3" t="inlineStr">
        <is>
          <t>USD</t>
        </is>
      </c>
      <c r="E6" s="3" t="inlineStr">
        <is>
          <t>Figure 3 (Average total cost of a data breach by industry), p.13</t>
        </is>
      </c>
    </row>
    <row r="7">
      <c r="A7" s="3" t="inlineStr">
        <is>
          <t>Technology</t>
        </is>
      </c>
      <c r="B7" s="6" t="n">
        <v>5500000</v>
      </c>
      <c r="C7" s="6" t="n">
        <v>4790000</v>
      </c>
      <c r="D7" s="3" t="inlineStr">
        <is>
          <t>USD</t>
        </is>
      </c>
      <c r="E7" s="3" t="inlineStr">
        <is>
          <t>Figure 3 (Average total cost of a data breach by industry), p.13</t>
        </is>
      </c>
    </row>
    <row r="8">
      <c r="A8" s="3" t="inlineStr">
        <is>
          <t>Entertainment</t>
        </is>
      </c>
      <c r="B8" s="6" t="n">
        <v>5380000</v>
      </c>
      <c r="C8" s="6" t="n">
        <v>4430000</v>
      </c>
      <c r="D8" s="3" t="inlineStr">
        <is>
          <t>USD</t>
        </is>
      </c>
      <c r="E8" s="3" t="inlineStr">
        <is>
          <t>Figure 3 (Average total cost of a data breach by industry), p.13</t>
        </is>
      </c>
    </row>
    <row r="9">
      <c r="A9" s="3" t="inlineStr">
        <is>
          <t>Pharmaceuticals</t>
        </is>
      </c>
      <c r="B9" s="6" t="n">
        <v>5250000</v>
      </c>
      <c r="C9" s="6" t="n">
        <v>4610000</v>
      </c>
      <c r="D9" s="3" t="inlineStr">
        <is>
          <t>USD</t>
        </is>
      </c>
      <c r="E9" s="3" t="inlineStr">
        <is>
          <t>Figure 3 (Average total cost of a data breach by industry), p.13</t>
        </is>
      </c>
    </row>
    <row r="10">
      <c r="A10" s="3" t="inlineStr">
        <is>
          <t>Energy</t>
        </is>
      </c>
      <c r="B10" s="6" t="n">
        <v>5240000</v>
      </c>
      <c r="C10" s="6" t="n">
        <v>4830000</v>
      </c>
      <c r="D10" s="3" t="inlineStr">
        <is>
          <t>USD</t>
        </is>
      </c>
      <c r="E10" s="3" t="inlineStr">
        <is>
          <t>Figure 3 (Average total cost of a data breach by industry), p.13</t>
        </is>
      </c>
    </row>
    <row r="11">
      <c r="A11" s="3" t="inlineStr">
        <is>
          <t>Services</t>
        </is>
      </c>
      <c r="B11" s="6" t="n">
        <v>5080000</v>
      </c>
      <c r="C11" s="6" t="n">
        <v>4560000</v>
      </c>
      <c r="D11" s="3" t="inlineStr">
        <is>
          <t>USD</t>
        </is>
      </c>
      <c r="E11" s="3" t="inlineStr">
        <is>
          <t>Figure 3 (Average total cost of a data breach by industry), p.13</t>
        </is>
      </c>
    </row>
    <row r="12">
      <c r="A12" s="3" t="inlineStr">
        <is>
          <t>Communications</t>
        </is>
      </c>
      <c r="B12" s="6" t="n">
        <v>4710000</v>
      </c>
      <c r="C12" s="6" t="n">
        <v>3750000</v>
      </c>
      <c r="D12" s="3" t="inlineStr">
        <is>
          <t>USD</t>
        </is>
      </c>
      <c r="E12" s="3" t="inlineStr">
        <is>
          <t>Figure 3 (Average total cost of a data breach by industry), p.13</t>
        </is>
      </c>
    </row>
    <row r="13">
      <c r="A13" s="3" t="inlineStr">
        <is>
          <t>Transportation</t>
        </is>
      </c>
      <c r="B13" s="6" t="n">
        <v>4500000</v>
      </c>
      <c r="C13" s="6" t="n">
        <v>3980000</v>
      </c>
      <c r="D13" s="3" t="inlineStr">
        <is>
          <t>USD</t>
        </is>
      </c>
      <c r="E13" s="3" t="inlineStr">
        <is>
          <t>Figure 3 (Average total cost of a data breach by industry), p.13</t>
        </is>
      </c>
    </row>
    <row r="14">
      <c r="A14" s="3" t="inlineStr">
        <is>
          <t>Media</t>
        </is>
      </c>
      <c r="B14" s="6" t="n">
        <v>4490000</v>
      </c>
      <c r="C14" s="6" t="n">
        <v>4220000</v>
      </c>
      <c r="D14" s="3" t="inlineStr">
        <is>
          <t>USD</t>
        </is>
      </c>
      <c r="E14" s="3" t="inlineStr">
        <is>
          <t>Figure 3 (Average total cost of a data breach by industry), p.13</t>
        </is>
      </c>
    </row>
    <row r="15">
      <c r="A15" s="3" t="inlineStr">
        <is>
          <t>Hospitality</t>
        </is>
      </c>
      <c r="B15" s="6" t="n">
        <v>4330000</v>
      </c>
      <c r="C15" s="6" t="n">
        <v>4030000</v>
      </c>
      <c r="D15" s="3" t="inlineStr">
        <is>
          <t>USD</t>
        </is>
      </c>
      <c r="E15" s="3" t="inlineStr">
        <is>
          <t>Figure 3 (Average total cost of a data breach by industry), p.13</t>
        </is>
      </c>
    </row>
    <row r="16">
      <c r="A16" s="3" t="inlineStr">
        <is>
          <t>Consumer</t>
        </is>
      </c>
      <c r="B16" s="6" t="n">
        <v>4310000</v>
      </c>
      <c r="C16" s="6" t="n">
        <v>3720000</v>
      </c>
      <c r="D16" s="3" t="inlineStr">
        <is>
          <t>USD</t>
        </is>
      </c>
      <c r="E16" s="3" t="inlineStr">
        <is>
          <t>Figure 3 (Average total cost of a data breach by industry), p.13</t>
        </is>
      </c>
    </row>
    <row r="17">
      <c r="A17" s="3" t="inlineStr">
        <is>
          <t>Education</t>
        </is>
      </c>
      <c r="B17" s="6" t="n">
        <v>4150000</v>
      </c>
      <c r="C17" s="6" t="n">
        <v>3800000</v>
      </c>
      <c r="D17" s="3" t="inlineStr">
        <is>
          <t>USD</t>
        </is>
      </c>
      <c r="E17" s="3" t="inlineStr">
        <is>
          <t>Figure 3 (Average total cost of a data breach by industry), p.13</t>
        </is>
      </c>
    </row>
    <row r="18">
      <c r="A18" s="3" t="inlineStr">
        <is>
          <t>Research</t>
        </is>
      </c>
      <c r="B18" s="6" t="n">
        <v>3990000</v>
      </c>
      <c r="C18" s="6" t="n">
        <v>3790000</v>
      </c>
      <c r="D18" s="3" t="inlineStr">
        <is>
          <t>USD</t>
        </is>
      </c>
      <c r="E18" s="3" t="inlineStr">
        <is>
          <t>Figure 3 (Average total cost of a data breach by industry), p.13</t>
        </is>
      </c>
    </row>
    <row r="19">
      <c r="A19" s="3" t="inlineStr">
        <is>
          <t>Retail</t>
        </is>
      </c>
      <c r="B19" s="6" t="n">
        <v>3800000</v>
      </c>
      <c r="C19" s="6" t="n">
        <v>3540000</v>
      </c>
      <c r="D19" s="3" t="inlineStr">
        <is>
          <t>USD</t>
        </is>
      </c>
      <c r="E19" s="3" t="inlineStr">
        <is>
          <t>Figure 3 (Average total cost of a data breach by industry), p.13</t>
        </is>
      </c>
    </row>
    <row r="20">
      <c r="A20" s="3" t="inlineStr">
        <is>
          <t>Public</t>
        </is>
      </c>
      <c r="B20" s="6" t="n">
        <v>3500000</v>
      </c>
      <c r="C20" s="6" t="n">
        <v>2860000</v>
      </c>
      <c r="D20" s="3" t="inlineStr">
        <is>
          <t>USD</t>
        </is>
      </c>
      <c r="E20" s="3" t="inlineStr">
        <is>
          <t>Figure 3 (Average total cost of a data breach by industry), p.13</t>
        </is>
      </c>
    </row>
    <row r="22">
      <c r="A22" s="1">
        <f>== TABLE B : Industry Root Cause Share (2026 dataset) ===</f>
        <v/>
      </c>
    </row>
    <row r="23">
      <c r="A23" s="2" t="inlineStr">
        <is>
          <t>Industry_ID</t>
        </is>
      </c>
      <c r="B23" s="2" t="inlineStr">
        <is>
          <t>Malicious_Attack_Share</t>
        </is>
      </c>
      <c r="C23" s="2" t="inlineStr">
        <is>
          <t>Human_Error_Share</t>
        </is>
      </c>
      <c r="D23" s="2" t="inlineStr">
        <is>
          <t>IT_Failure_Share</t>
        </is>
      </c>
      <c r="E23" s="2" t="inlineStr">
        <is>
          <t>Source_Section</t>
        </is>
      </c>
    </row>
    <row r="24">
      <c r="A24" s="3" t="inlineStr">
        <is>
          <t>Entertainment</t>
        </is>
      </c>
      <c r="B24" s="4" t="n">
        <v>0.45</v>
      </c>
      <c r="C24" s="4" t="n">
        <v>0.34</v>
      </c>
      <c r="D24" s="4" t="n">
        <v>0.21</v>
      </c>
      <c r="E24" s="3" t="inlineStr">
        <is>
          <t>Figure 10 (Share of all breached organizations by industry sector - root cause), p.22</t>
        </is>
      </c>
    </row>
    <row r="25">
      <c r="A25" s="3" t="inlineStr">
        <is>
          <t>Consumer</t>
        </is>
      </c>
      <c r="B25" s="4" t="n">
        <v>0.47</v>
      </c>
      <c r="C25" s="4" t="n">
        <v>0.29</v>
      </c>
      <c r="D25" s="4" t="n">
        <v>0.24</v>
      </c>
      <c r="E25" s="3" t="inlineStr">
        <is>
          <t>Figure 10 (Share of all breached organizations by industry sector - root cause), p.22</t>
        </is>
      </c>
    </row>
    <row r="26">
      <c r="A26" s="3" t="inlineStr">
        <is>
          <t>Public</t>
        </is>
      </c>
      <c r="B26" s="4" t="n">
        <v>0.49</v>
      </c>
      <c r="C26" s="4" t="n">
        <v>0.25</v>
      </c>
      <c r="D26" s="4" t="n">
        <v>0.26</v>
      </c>
      <c r="E26" s="3" t="inlineStr">
        <is>
          <t>Figure 10 (Share of all breached organizations by industry sector - root cause), p.22</t>
        </is>
      </c>
    </row>
    <row r="27">
      <c r="A27" s="3" t="inlineStr">
        <is>
          <t>Education</t>
        </is>
      </c>
      <c r="B27" s="4" t="n">
        <v>0.5</v>
      </c>
      <c r="C27" s="4" t="n">
        <v>0.27</v>
      </c>
      <c r="D27" s="4" t="n">
        <v>0.23</v>
      </c>
      <c r="E27" s="3" t="inlineStr">
        <is>
          <t>Figure 10 (Share of all breached organizations by industry sector - root cause), p.22</t>
        </is>
      </c>
    </row>
    <row r="28">
      <c r="A28" s="3" t="inlineStr">
        <is>
          <t>Research</t>
        </is>
      </c>
      <c r="B28" s="4" t="n">
        <v>0.5</v>
      </c>
      <c r="C28" s="4" t="n">
        <v>0.23</v>
      </c>
      <c r="D28" s="4" t="n">
        <v>0.27</v>
      </c>
      <c r="E28" s="3" t="inlineStr">
        <is>
          <t>Figure 10 (Share of all breached organizations by industry sector - root cause), p.22</t>
        </is>
      </c>
    </row>
    <row r="29">
      <c r="A29" s="3" t="inlineStr">
        <is>
          <t>Technology</t>
        </is>
      </c>
      <c r="B29" s="4" t="n">
        <v>0.51</v>
      </c>
      <c r="C29" s="4" t="n">
        <v>0.27</v>
      </c>
      <c r="D29" s="4" t="n">
        <v>0.22</v>
      </c>
      <c r="E29" s="3" t="inlineStr">
        <is>
          <t>Figure 10 (Share of all breached organizations by industry sector - root cause), p.22</t>
        </is>
      </c>
    </row>
    <row r="30">
      <c r="A30" s="3" t="inlineStr">
        <is>
          <t>Communications</t>
        </is>
      </c>
      <c r="B30" s="4" t="n">
        <v>0.54</v>
      </c>
      <c r="C30" s="4" t="n">
        <v>0.26</v>
      </c>
      <c r="D30" s="4" t="n">
        <v>0.2</v>
      </c>
      <c r="E30" s="3" t="inlineStr">
        <is>
          <t>Figure 10 (Share of all breached organizations by industry sector - root cause), p.22</t>
        </is>
      </c>
    </row>
    <row r="31">
      <c r="A31" s="3" t="inlineStr">
        <is>
          <t>Hospitality</t>
        </is>
      </c>
      <c r="B31" s="4" t="n">
        <v>0.5600000000000001</v>
      </c>
      <c r="C31" s="4" t="n">
        <v>0.2</v>
      </c>
      <c r="D31" s="4" t="n">
        <v>0.24</v>
      </c>
      <c r="E31" s="3" t="inlineStr">
        <is>
          <t>Figure 10 (Share of all breached organizations by industry sector - root cause), p.22</t>
        </is>
      </c>
    </row>
    <row r="32">
      <c r="A32" s="3" t="inlineStr">
        <is>
          <t>Pharmaceuticals</t>
        </is>
      </c>
      <c r="B32" s="4" t="n">
        <v>0.5600000000000001</v>
      </c>
      <c r="C32" s="4" t="n">
        <v>0.24</v>
      </c>
      <c r="D32" s="4" t="n">
        <v>0.2</v>
      </c>
      <c r="E32" s="3" t="inlineStr">
        <is>
          <t>Figure 10 (Share of all breached organizations by industry sector - root cause), p.22</t>
        </is>
      </c>
    </row>
    <row r="33">
      <c r="A33" s="3" t="inlineStr">
        <is>
          <t>Services</t>
        </is>
      </c>
      <c r="B33" s="4" t="n">
        <v>0.57</v>
      </c>
      <c r="C33" s="4" t="n">
        <v>0.2</v>
      </c>
      <c r="D33" s="4" t="n">
        <v>0.23</v>
      </c>
      <c r="E33" s="3" t="inlineStr">
        <is>
          <t>Figure 10 (Share of all breached organizations by industry sector - root cause), p.22</t>
        </is>
      </c>
    </row>
    <row r="34">
      <c r="A34" s="3" t="inlineStr">
        <is>
          <t>Energy</t>
        </is>
      </c>
      <c r="B34" s="4" t="n">
        <v>0.58</v>
      </c>
      <c r="C34" s="4" t="n">
        <v>0.22</v>
      </c>
      <c r="D34" s="4" t="n">
        <v>0.2</v>
      </c>
      <c r="E34" s="3" t="inlineStr">
        <is>
          <t>Figure 10 (Share of all breached organizations by industry sector - root cause), p.22</t>
        </is>
      </c>
    </row>
    <row r="35">
      <c r="A35" s="3" t="inlineStr">
        <is>
          <t>Media</t>
        </is>
      </c>
      <c r="B35" s="4" t="n">
        <v>0.58</v>
      </c>
      <c r="C35" s="4" t="n">
        <v>0.21</v>
      </c>
      <c r="D35" s="4" t="n">
        <v>0.21</v>
      </c>
      <c r="E35" s="3" t="inlineStr">
        <is>
          <t>Figure 10 (Share of all breached organizations by industry sector - root cause), p.22</t>
        </is>
      </c>
    </row>
    <row r="36">
      <c r="A36" s="3" t="inlineStr">
        <is>
          <t>Healthcare</t>
        </is>
      </c>
      <c r="B36" s="4" t="n">
        <v>0.59</v>
      </c>
      <c r="C36" s="4" t="n">
        <v>0.21</v>
      </c>
      <c r="D36" s="4" t="n">
        <v>0.2</v>
      </c>
      <c r="E36" s="3" t="inlineStr">
        <is>
          <t>Figure 10 (Share of all breached organizations by industry sector - root cause), p.22</t>
        </is>
      </c>
    </row>
    <row r="37">
      <c r="A37" s="3" t="inlineStr">
        <is>
          <t>Financial</t>
        </is>
      </c>
      <c r="B37" s="4" t="n">
        <v>0.6</v>
      </c>
      <c r="C37" s="4" t="n">
        <v>0.22</v>
      </c>
      <c r="D37" s="4" t="n">
        <v>0.18</v>
      </c>
      <c r="E37" s="3" t="inlineStr">
        <is>
          <t>Figure 10 (Share of all breached organizations by industry sector - root cause), p.22</t>
        </is>
      </c>
    </row>
    <row r="38">
      <c r="A38" s="3" t="inlineStr">
        <is>
          <t>Industrial</t>
        </is>
      </c>
      <c r="B38" s="4" t="n">
        <v>0.6</v>
      </c>
      <c r="C38" s="4" t="n">
        <v>0.2</v>
      </c>
      <c r="D38" s="4" t="n">
        <v>0.2</v>
      </c>
      <c r="E38" s="3" t="inlineStr">
        <is>
          <t>Figure 10 (Share of all breached organizations by industry sector - root cause), p.22</t>
        </is>
      </c>
    </row>
    <row r="39">
      <c r="A39" s="3" t="inlineStr">
        <is>
          <t>Retail</t>
        </is>
      </c>
      <c r="B39" s="4" t="n">
        <v>0.61</v>
      </c>
      <c r="C39" s="4" t="n">
        <v>0.17</v>
      </c>
      <c r="D39" s="4" t="n">
        <v>0.22</v>
      </c>
      <c r="E39" s="3" t="inlineStr">
        <is>
          <t>Figure 10 (Share of all breached organizations by industry sector - root cause), p.22</t>
        </is>
      </c>
    </row>
    <row r="40">
      <c r="A40" s="3" t="inlineStr">
        <is>
          <t>Transportation</t>
        </is>
      </c>
      <c r="B40" s="4" t="n">
        <v>0.61</v>
      </c>
      <c r="C40" s="4" t="n">
        <v>0.13</v>
      </c>
      <c r="D40" s="4" t="n">
        <v>0.26</v>
      </c>
      <c r="E40" s="3" t="inlineStr">
        <is>
          <t>Figure 10 (Share of all breached organizations by industry sector - root cause), p.22</t>
        </is>
      </c>
    </row>
    <row r="42">
      <c r="A42" s="1">
        <f>== TABLE C : Country/Region Average Total Cost ===</f>
        <v/>
      </c>
    </row>
    <row r="43">
      <c r="A43" s="2" t="inlineStr">
        <is>
          <t>Country</t>
        </is>
      </c>
      <c r="B43" s="2" t="inlineStr">
        <is>
          <t>Avg_Cost_2026</t>
        </is>
      </c>
      <c r="C43" s="2" t="inlineStr">
        <is>
          <t>Avg_Cost_2025</t>
        </is>
      </c>
      <c r="D43" s="2" t="inlineStr">
        <is>
          <t>Currency</t>
        </is>
      </c>
      <c r="E43" s="2" t="inlineStr">
        <is>
          <t>Source_Section</t>
        </is>
      </c>
    </row>
    <row r="44">
      <c r="A44" s="3" t="inlineStr">
        <is>
          <t>United States</t>
        </is>
      </c>
      <c r="B44" s="6" t="n">
        <v>11500000</v>
      </c>
      <c r="C44" s="6" t="n">
        <v>10220000</v>
      </c>
      <c r="D44" s="3" t="inlineStr">
        <is>
          <t>USD</t>
        </is>
      </c>
      <c r="E44" s="3" t="inlineStr">
        <is>
          <t>Figure 2 (Average total cost of a data breach by country/region), p.11</t>
        </is>
      </c>
    </row>
    <row r="45">
      <c r="A45" s="3" t="inlineStr">
        <is>
          <t>Middle East</t>
        </is>
      </c>
      <c r="B45" s="6" t="n">
        <v>8000000</v>
      </c>
      <c r="C45" s="6" t="n">
        <v>7290000</v>
      </c>
      <c r="D45" s="3" t="inlineStr">
        <is>
          <t>USD</t>
        </is>
      </c>
      <c r="E45" s="3" t="inlineStr">
        <is>
          <t>Figure 2 (Average total cost of a data breach by country/region), p.11</t>
        </is>
      </c>
    </row>
    <row r="46">
      <c r="A46" s="3" t="inlineStr">
        <is>
          <t>Benelux</t>
        </is>
      </c>
      <c r="B46" s="6" t="n">
        <v>7370000</v>
      </c>
      <c r="C46" s="6" t="n">
        <v>6240000</v>
      </c>
      <c r="D46" s="3" t="inlineStr">
        <is>
          <t>USD</t>
        </is>
      </c>
      <c r="E46" s="3" t="inlineStr">
        <is>
          <t>Figure 2 (Average total cost of a data breach by country/region), p.11</t>
        </is>
      </c>
    </row>
    <row r="47">
      <c r="A47" s="3" t="inlineStr">
        <is>
          <t>Canada</t>
        </is>
      </c>
      <c r="B47" s="6" t="n">
        <v>5200000</v>
      </c>
      <c r="C47" s="6" t="n">
        <v>4840000</v>
      </c>
      <c r="D47" s="3" t="inlineStr">
        <is>
          <t>USD</t>
        </is>
      </c>
      <c r="E47" s="3" t="inlineStr">
        <is>
          <t>Figure 2 (Average total cost of a data breach by country/region), p.11</t>
        </is>
      </c>
    </row>
    <row r="48">
      <c r="A48" s="3" t="inlineStr">
        <is>
          <t>Germany</t>
        </is>
      </c>
      <c r="B48" s="6" t="n">
        <v>4930000</v>
      </c>
      <c r="C48" s="6" t="n">
        <v>4030000</v>
      </c>
      <c r="D48" s="3" t="inlineStr">
        <is>
          <t>USD</t>
        </is>
      </c>
      <c r="E48" s="3" t="inlineStr">
        <is>
          <t>Figure 2 (Average total cost of a data breach by country/region), p.11</t>
        </is>
      </c>
    </row>
    <row r="49">
      <c r="A49" s="3" t="inlineStr">
        <is>
          <t>LATAM</t>
        </is>
      </c>
      <c r="B49" s="6" t="n">
        <v>4650000</v>
      </c>
      <c r="C49" s="6" t="n">
        <v>3810000</v>
      </c>
      <c r="D49" s="3" t="inlineStr">
        <is>
          <t>USD</t>
        </is>
      </c>
      <c r="E49" s="3" t="inlineStr">
        <is>
          <t>Figure 2 (Average total cost of a data breach by country/region), p.11</t>
        </is>
      </c>
    </row>
    <row r="50">
      <c r="A50" s="3" t="inlineStr">
        <is>
          <t>United Kingdom</t>
        </is>
      </c>
      <c r="B50" s="6" t="n">
        <v>4170000</v>
      </c>
      <c r="C50" s="6" t="n">
        <v>4140000</v>
      </c>
      <c r="D50" s="3" t="inlineStr">
        <is>
          <t>USD</t>
        </is>
      </c>
      <c r="E50" s="3" t="inlineStr">
        <is>
          <t>Figure 2 (Average total cost of a data breach by country/region), p.11</t>
        </is>
      </c>
    </row>
    <row r="51">
      <c r="A51" s="3" t="inlineStr">
        <is>
          <t>Italy</t>
        </is>
      </c>
      <c r="B51" s="6" t="n">
        <v>4120000</v>
      </c>
      <c r="C51" s="6" t="n">
        <v>3440000</v>
      </c>
      <c r="D51" s="3" t="inlineStr">
        <is>
          <t>USD</t>
        </is>
      </c>
      <c r="E51" s="3" t="inlineStr">
        <is>
          <t>Figure 2 (Average total cost of a data breach by country/region), p.11</t>
        </is>
      </c>
    </row>
    <row r="52">
      <c r="A52" s="3" t="inlineStr">
        <is>
          <t>ASEAN</t>
        </is>
      </c>
      <c r="B52" s="6" t="n">
        <v>4120000</v>
      </c>
      <c r="C52" s="6" t="n">
        <v>3670000</v>
      </c>
      <c r="D52" s="3" t="inlineStr">
        <is>
          <t>USD</t>
        </is>
      </c>
      <c r="E52" s="3" t="inlineStr">
        <is>
          <t>Figure 2 (Average total cost of a data breach by country/region), p.11</t>
        </is>
      </c>
    </row>
    <row r="53">
      <c r="A53" s="3" t="inlineStr">
        <is>
          <t>France</t>
        </is>
      </c>
      <c r="B53" s="6" t="n">
        <v>4050000</v>
      </c>
      <c r="C53" s="6" t="n">
        <v>3730000</v>
      </c>
      <c r="D53" s="3" t="inlineStr">
        <is>
          <t>USD</t>
        </is>
      </c>
      <c r="E53" s="3" t="inlineStr">
        <is>
          <t>Figure 2 (Average total cost of a data breach by country/region), p.11</t>
        </is>
      </c>
    </row>
    <row r="54">
      <c r="A54" s="3" t="inlineStr">
        <is>
          <t>Japan</t>
        </is>
      </c>
      <c r="B54" s="6" t="n">
        <v>4010000</v>
      </c>
      <c r="C54" s="6" t="n">
        <v>3650000</v>
      </c>
      <c r="D54" s="3" t="inlineStr">
        <is>
          <t>USD</t>
        </is>
      </c>
      <c r="E54" s="3" t="inlineStr">
        <is>
          <t>Figure 2 (Average total cost of a data breach by country/region), p.11</t>
        </is>
      </c>
    </row>
    <row r="55">
      <c r="A55" s="3" t="inlineStr">
        <is>
          <t>South Africa</t>
        </is>
      </c>
      <c r="B55" s="6" t="n">
        <v>3040000</v>
      </c>
      <c r="C55" s="6" t="n">
        <v>2370000</v>
      </c>
      <c r="D55" s="3" t="inlineStr">
        <is>
          <t>USD</t>
        </is>
      </c>
      <c r="E55" s="3" t="inlineStr">
        <is>
          <t>Figure 2 (Average total cost of a data breach by country/region), p.11</t>
        </is>
      </c>
    </row>
    <row r="56">
      <c r="A56" s="3" t="inlineStr">
        <is>
          <t>South Korea</t>
        </is>
      </c>
      <c r="B56" s="6" t="n">
        <v>3030000</v>
      </c>
      <c r="C56" s="6" t="n">
        <v>2840000</v>
      </c>
      <c r="D56" s="3" t="inlineStr">
        <is>
          <t>USD</t>
        </is>
      </c>
      <c r="E56" s="3" t="inlineStr">
        <is>
          <t>Figure 2 (Average total cost of a data breach by country/region), p.11</t>
        </is>
      </c>
    </row>
    <row r="57">
      <c r="A57" s="3" t="inlineStr">
        <is>
          <t>Australia</t>
        </is>
      </c>
      <c r="B57" s="6" t="n">
        <v>2960000</v>
      </c>
      <c r="C57" s="6" t="n">
        <v>2550000</v>
      </c>
      <c r="D57" s="3" t="inlineStr">
        <is>
          <t>USD</t>
        </is>
      </c>
      <c r="E57" s="3" t="inlineStr">
        <is>
          <t>Figure 2 (Average total cost of a data breach by country/region), p.11</t>
        </is>
      </c>
    </row>
    <row r="58">
      <c r="A58" s="3" t="inlineStr">
        <is>
          <t>India</t>
        </is>
      </c>
      <c r="B58" s="6" t="n">
        <v>2790000</v>
      </c>
      <c r="C58" s="6" t="n">
        <v>2510000</v>
      </c>
      <c r="D58" s="3" t="inlineStr">
        <is>
          <t>USD</t>
        </is>
      </c>
      <c r="E58" s="3" t="inlineStr">
        <is>
          <t>Figure 2 (Average total cost of a data breach by country/region), p.11</t>
        </is>
      </c>
    </row>
    <row r="59">
      <c r="A59" s="3" t="inlineStr">
        <is>
          <t>Brazil</t>
        </is>
      </c>
      <c r="B59" s="6" t="n">
        <v>1410000</v>
      </c>
      <c r="C59" s="6" t="n">
        <v>1220000</v>
      </c>
      <c r="D59" s="3" t="inlineStr">
        <is>
          <t>USD</t>
        </is>
      </c>
      <c r="E59" s="3" t="inlineStr">
        <is>
          <t>Figure 2 (Average total cost of a data breach by country/region), p.11</t>
        </is>
      </c>
    </row>
    <row r="61">
      <c r="A61" s="1">
        <f>== TABLE D : Breach Lifecycle Cost Effect (Global) ===</f>
        <v/>
      </c>
    </row>
    <row r="62">
      <c r="A62" s="2" t="inlineStr">
        <is>
          <t>Lifecycle_Bucket</t>
        </is>
      </c>
      <c r="B62" s="2" t="inlineStr">
        <is>
          <t>Avg_Cost_2026</t>
        </is>
      </c>
      <c r="C62" s="2" t="inlineStr">
        <is>
          <t>Avg_Cost_2025</t>
        </is>
      </c>
      <c r="D62" s="2" t="inlineStr">
        <is>
          <t>Currency</t>
        </is>
      </c>
      <c r="E62" s="2" t="inlineStr">
        <is>
          <t>Source_Section</t>
        </is>
      </c>
    </row>
    <row r="63">
      <c r="A63" s="3" t="inlineStr">
        <is>
          <t>MTTI+MTTC &lt; 200 days</t>
        </is>
      </c>
      <c r="B63" s="6" t="n">
        <v>4320000</v>
      </c>
      <c r="C63" s="6" t="n">
        <v>3870000</v>
      </c>
      <c r="D63" s="3" t="inlineStr">
        <is>
          <t>USD</t>
        </is>
      </c>
      <c r="E63" s="3" t="inlineStr">
        <is>
          <t>Figure 16 (Data breach lifecycle cost effect: MTTI+MTTC &lt; 200 days vs &gt; 200 days), p.29</t>
        </is>
      </c>
    </row>
    <row r="64">
      <c r="A64" s="3" t="inlineStr">
        <is>
          <t>MTTI+MTTC &gt; 200 days</t>
        </is>
      </c>
      <c r="B64" s="6" t="n">
        <v>5650000</v>
      </c>
      <c r="C64" s="6" t="n">
        <v>5010000</v>
      </c>
      <c r="D64" s="3" t="inlineStr">
        <is>
          <t>USD</t>
        </is>
      </c>
      <c r="E64" s="3" t="inlineStr">
        <is>
          <t>Figure 16 (Data breach lifecycle cost effect: MTTI+MTTC &lt; 200 days vs &gt; 200 days), p.29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Country</t>
        </is>
      </c>
      <c r="B1" t="inlineStr">
        <is>
          <t>Regulation</t>
        </is>
      </c>
      <c r="C1" t="inlineStr">
        <is>
          <t>Metric</t>
        </is>
      </c>
      <c r="D1" t="inlineStr">
        <is>
          <t>Value</t>
        </is>
      </c>
      <c r="E1" t="inlineStr">
        <is>
          <t>Unit</t>
        </is>
      </c>
      <c r="F1" t="inlineStr">
        <is>
          <t>Source_Report</t>
        </is>
      </c>
      <c r="G1" t="inlineStr">
        <is>
          <t>Source_Section</t>
        </is>
      </c>
      <c r="H1" t="inlineStr">
        <is>
          <t>Notes</t>
        </is>
      </c>
    </row>
    <row r="2">
      <c r="A2" t="inlineStr">
        <is>
          <t>Korea</t>
        </is>
      </c>
      <c r="B2" t="inlineStr">
        <is>
          <t>개인정보보호법 제64조의2</t>
        </is>
      </c>
      <c r="C2" t="inlineStr">
        <is>
          <t>Administrative Fine (Punitive)</t>
        </is>
      </c>
      <c r="D2" t="inlineStr">
        <is>
          <t>3</t>
        </is>
      </c>
      <c r="E2" t="inlineStr">
        <is>
          <t>% of related revenue (max)</t>
        </is>
      </c>
      <c r="F2" t="inlineStr">
        <is>
          <t>PIPC Notice 2023-3</t>
        </is>
      </c>
      <c r="G2" t="inlineStr">
        <is>
          <t>제64조의2, 2023.9.15 시행</t>
        </is>
      </c>
      <c r="H2" t="inlineStr">
        <is>
          <t>매출액 연동형 과징금. 본 워크북은 단순화를 위해 상한(3%) 기준 worst-case 추정.</t>
        </is>
      </c>
    </row>
    <row r="3">
      <c r="A3" t="inlineStr">
        <is>
          <t>Korea</t>
        </is>
      </c>
      <c r="B3" t="inlineStr">
        <is>
          <t>개인정보보호법 제64조의2</t>
        </is>
      </c>
      <c r="C3" t="inlineStr">
        <is>
          <t>Fine Exemption Threshold</t>
        </is>
      </c>
      <c r="D3" t="inlineStr">
        <is>
          <t>100</t>
        </is>
      </c>
      <c r="E3" t="inlineStr">
        <is>
          <t>data subjects affected (min)</t>
        </is>
      </c>
      <c r="F3" t="inlineStr">
        <is>
          <t>PIPC Notice 2023-3</t>
        </is>
      </c>
      <c r="G3" t="inlineStr">
        <is>
          <t>제64조의2 면제조항</t>
        </is>
      </c>
      <c r="H3" t="inlineStr">
        <is>
          <t>유출 정보주체 100명 미만이거나 산정액 300만원 이하 시 면제 가능.</t>
        </is>
      </c>
    </row>
    <row r="4">
      <c r="A4" t="inlineStr">
        <is>
          <t>Korea</t>
        </is>
      </c>
      <c r="B4" t="inlineStr">
        <is>
          <t>개인정보보호법 제39조/39-2조</t>
        </is>
      </c>
      <c r="C4" t="inlineStr">
        <is>
          <t>법정손해배상 상한액</t>
        </is>
      </c>
      <c r="D4" t="inlineStr">
        <is>
          <t>3000000</t>
        </is>
      </c>
      <c r="E4" t="inlineStr">
        <is>
          <t>KRW per data subject</t>
        </is>
      </c>
      <c r="F4" t="inlineStr">
        <is>
          <t>Hanwha Cyber Protection Insurance - Korean Privacy Liability Endorsement</t>
        </is>
      </c>
      <c r="G4" t="inlineStr">
        <is>
          <t>제39조의2</t>
        </is>
      </c>
      <c r="H4" t="inlineStr">
        <is>
          <t>실손해 입증 없이 인정 가능한 배상 상한액. 고의은폐 시 실손해액 5배까지 징벌배상 가능(제39조 3항).</t>
        </is>
      </c>
    </row>
    <row r="5">
      <c r="A5" t="inlineStr">
        <is>
          <t>Korea</t>
        </is>
      </c>
      <c r="B5" t="inlineStr">
        <is>
          <t>신용정보의 이용 및 보호에 관한 법률 제43조/43-2조</t>
        </is>
      </c>
      <c r="C5" t="inlineStr">
        <is>
          <t>법정/징벌적 손해배상</t>
        </is>
      </c>
      <c r="D5" t="inlineStr">
        <is>
          <t>5</t>
        </is>
      </c>
      <c r="E5" t="inlineStr">
        <is>
          <t>x actual damages (punitive, bad faith only)</t>
        </is>
      </c>
      <c r="F5" t="inlineStr">
        <is>
          <t>Hanwha Cyber Protection Insurance - Korean Privacy Liability Endorsement</t>
        </is>
      </c>
      <c r="G5" t="inlineStr">
        <is>
          <t>제43조 2항, 제43조의2</t>
        </is>
      </c>
      <c r="H5" t="inlineStr">
        <is>
          <t>신용정보 유출 시 고의/중과실 입증되면 실손해액 최대 5배까지 배상.</t>
        </is>
      </c>
    </row>
    <row r="6">
      <c r="A6" t="inlineStr">
        <is>
          <t>Korea (National Macro)</t>
        </is>
      </c>
      <c r="B6" t="inlineStr">
        <is>
          <t>N/A - KISA 통계</t>
        </is>
      </c>
      <c r="C6" t="inlineStr">
        <is>
          <t>2020년 기업부문 연간 피해액(전국)</t>
        </is>
      </c>
      <c r="D6" t="inlineStr">
        <is>
          <t>695600000000</t>
        </is>
      </c>
      <c r="E6" t="inlineStr">
        <is>
          <t>KRW (total, all sectors, 2020)</t>
        </is>
      </c>
      <c r="F6" t="inlineStr">
        <is>
          <t>KISA - 사이버 침해사고의 경제·사회적 비용 추정 연구</t>
        </is>
      </c>
      <c r="G6" t="inlineStr">
        <is>
          <t>6장</t>
        </is>
      </c>
      <c r="H6" t="inlineStr">
        <is>
          <t>Bottom-up 집계. 업종별 세분화 없음, 2021년 발간이라 과소추정 가능성.</t>
        </is>
      </c>
    </row>
    <row r="7">
      <c r="A7" t="inlineStr">
        <is>
          <t>Korea (National Macro)</t>
        </is>
      </c>
      <c r="B7" t="inlineStr">
        <is>
          <t>N/A - KISA 통계</t>
        </is>
      </c>
      <c r="C7" t="inlineStr">
        <is>
          <t>2020년 개인부문 사회적 비용(전국)</t>
        </is>
      </c>
      <c r="D7" t="inlineStr">
        <is>
          <t>983400000000</t>
        </is>
      </c>
      <c r="E7" t="inlineStr">
        <is>
          <t>KRW (total, all individuals, 2020)</t>
        </is>
      </c>
      <c r="F7" t="inlineStr">
        <is>
          <t>KISA - 사이버 침해사고의 경제·사회적 비용 추정 연구</t>
        </is>
      </c>
      <c r="G7" t="inlineStr">
        <is>
          <t>6장</t>
        </is>
      </c>
      <c r="H7" t="inlineStr">
        <is>
          <t>개인대상 설문조사 기반. 기업모델엔 참고용.</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Coverage_ID</t>
        </is>
      </c>
      <c r="B1" t="inlineStr">
        <is>
          <t>Coverage_Name</t>
        </is>
      </c>
      <c r="C1" t="inlineStr">
        <is>
          <t>Covered_Loss</t>
        </is>
      </c>
      <c r="D1" t="inlineStr">
        <is>
          <t>Excluded_Loss</t>
        </is>
      </c>
      <c r="E1" t="inlineStr">
        <is>
          <t>Notes</t>
        </is>
      </c>
    </row>
    <row r="2">
      <c r="A2" t="inlineStr">
        <is>
          <t>A.1</t>
        </is>
      </c>
      <c r="B2" t="inlineStr">
        <is>
          <t>Incident and breach response</t>
        </is>
      </c>
      <c r="C2" t="inlineStr">
        <is>
          <t>Forensic investigation, containment, documentation, regulatory notification compliance, crisis management/hotline, credit monitoring purchase, reputation management (until end of Reputational Protection Period), legal defence for regulatory action, and regulatory fines (carve-back exception to Exclusion #10).</t>
        </is>
      </c>
      <c r="D2" t="inlineStr">
        <is>
          <t>Known circumstances prior to policy inception (#1); insured's intentional/malicious act (#6); fines/penalties in general (#10, except as carved back here).</t>
        </is>
      </c>
      <c r="E2" t="inlineStr">
        <is>
          <t>Maps to FAIR Primary Loss (combines IBM's Detection&amp;Escalation + Notification + Post-breach Response categories - do not double count against those if blended later).</t>
        </is>
      </c>
    </row>
    <row r="3">
      <c r="A3" t="inlineStr">
        <is>
          <t>A.2</t>
        </is>
      </c>
      <c r="B3" t="inlineStr">
        <is>
          <t>Restoration</t>
        </is>
      </c>
      <c r="C3" t="inlineStr">
        <is>
          <t>Cost to restore/reconfigure data, software and computer systems to closest pre-incident condition, as a direct result of a cyber incident or data breach.</t>
        </is>
      </c>
      <c r="D3" t="inlineStr">
        <is>
          <t>Cost of betterment beyond prior state (#23); insured's intentional/malicious act (#6).</t>
        </is>
      </c>
      <c r="E3" t="inlineStr">
        <is>
          <t>Maps to FAIR Primary Loss (Recovery cost component).</t>
        </is>
      </c>
    </row>
    <row r="4">
      <c r="A4" t="inlineStr">
        <is>
          <t>A.3</t>
        </is>
      </c>
      <c r="B4" t="inlineStr">
        <is>
          <t>Business interruption</t>
        </is>
      </c>
      <c r="C4" t="inlineStr">
        <is>
          <t>Loss of gross profit + increased cost of working due to unavailability/degradation of the insured's OWN computer systems caused by a cyber incident. Waiting period 12h; Max Indemnity Period 90 days.</t>
        </is>
      </c>
      <c r="D4" t="inlineStr">
        <is>
          <t>Failure of third-party infrastructure not under insured's direct control - telecom/internet/satellite/cable/electricity/gas/water (#2); scheduled downtime/planned outages (#12).</t>
        </is>
      </c>
      <c r="E4" t="inlineStr">
        <is>
          <t>Maps to FAIR Primary Loss (direct lost revenue from the insured's OWN operational outage - FAIR Ch.3 explicitly lists 'lost revenue from operational outages' as a canonical Primary Loss example, distinct from Secondary Loss driven by customer/market reaction). Corrected from earlier 'Secondary' tag. Scenario flag: business_interruption = Covered (subject to 12h waiting period, not modeled as a dollar deduction here).</t>
        </is>
      </c>
    </row>
    <row r="5">
      <c r="A5" t="inlineStr">
        <is>
          <t>A.4</t>
        </is>
      </c>
      <c r="B5" t="inlineStr">
        <is>
          <t>Contingent business interruption</t>
        </is>
      </c>
      <c r="C5" t="inlineStr">
        <is>
          <t>Same as A.3 (loss of gross profit + increased cost of working), but caused by unavailability of a SERVICE PROVIDER's computer system (third-party/supply-chain dependency).</t>
        </is>
      </c>
      <c r="D5" t="inlineStr">
        <is>
          <t>Same as A.3, plus: IT services that a service provider has further subcontracted to another third party (#20).</t>
        </is>
      </c>
      <c r="E5" t="inlineStr">
        <is>
          <t>Maps to FAIR Secondary Loss, specifically the 'Third-party Dependency' risk driver noted in the dashboard design (Layer 2.3 Top Risk Drivers).</t>
        </is>
      </c>
    </row>
    <row r="6">
      <c r="A6" t="inlineStr">
        <is>
          <t>A.5</t>
        </is>
      </c>
      <c r="B6" t="inlineStr">
        <is>
          <t>Cyber-extortion</t>
        </is>
      </c>
      <c r="C6" t="inlineStr">
        <is>
          <t>Ransom payment (where legally permissible, with insurer's prior consent) and reasonable/necessary costs to resolve a cyber-extortion.</t>
        </is>
      </c>
      <c r="D6" t="inlineStr">
        <is>
          <t>War/Cyber War/Cyber Operation Exclusion (LMA5566) - state-sponsored or war-related extortion NOT covered, insurer bears burden of proving attribution; Sanction Limitation Clause - extortionist/ransom recipient on a sanctions list NOT covered.</t>
        </is>
      </c>
      <c r="E6" t="inlineStr">
        <is>
          <t>DIRECTLY maps to the 'Ransomware' scenario category (the single largest loss driver identified in NetDiligence Table G and DBIR). Scenario flag: ransomware = Covered UNLESS attributed to a state actor or a sanctioned entity.</t>
        </is>
      </c>
    </row>
    <row r="7">
      <c r="A7" t="inlineStr">
        <is>
          <t>A.6</t>
        </is>
      </c>
      <c r="B7" t="inlineStr">
        <is>
          <t>Cyber-crime</t>
        </is>
      </c>
      <c r="C7" t="inlineStr">
        <is>
          <t>Reimbursement of funds illegally taken via an EXTERNAL ACTOR's fraudulent electronic transfer or fraudulent data alteration (i.e., wire fraud / Business Email Compromise).</t>
        </is>
      </c>
      <c r="D7" t="inlineStr">
        <is>
          <t>General theft of funds/securities/currency otherwise excluded (#16, except as provided here); any loss involving cryptocurrency (#17, coins/tokens/keys) even if part of a covered cyber-crime.</t>
        </is>
      </c>
      <c r="E7" t="inlineStr">
        <is>
          <t>DIRECTLY maps to the 'BEC (Business Email Compromise)' scenario category - a distinct major loss driver in NetDiligence/DBIR data, separate from ransomware.</t>
        </is>
      </c>
    </row>
    <row r="8">
      <c r="A8" t="inlineStr">
        <is>
          <t>A.7</t>
        </is>
      </c>
      <c r="B8" t="inlineStr">
        <is>
          <t>PCI-DSS</t>
        </is>
      </c>
      <c r="C8" t="inlineStr">
        <is>
          <t>Fines/penalties levied by a payment card brand due to a PCI-DSS breach directly caused by a cyber incident, plus PCI forensic investigator, recertification, and card reissuance costs.</t>
        </is>
      </c>
      <c r="D8" t="inlineStr">
        <is>
          <t>Only triggered if the underlying event is directly caused by a covered cyber incident; general fines exclusion (#10) does not apply here (explicit carve-back).</t>
        </is>
      </c>
      <c r="E8" t="inlineStr">
        <is>
          <t>Relevant mainly to Retail/Financial/Hospitality industries that process card payments - cross-reference with Industry_Master IND_06, IND_17, IND_08.</t>
        </is>
      </c>
    </row>
    <row r="9">
      <c r="A9" t="inlineStr">
        <is>
          <t>B.1</t>
        </is>
      </c>
      <c r="B9" t="inlineStr">
        <is>
          <t>Confidentiality and privacy liability</t>
        </is>
      </c>
      <c r="C9" t="inlineStr">
        <is>
          <t>Third-party claims for a data breach involving confidential information or personal data (including employees'), plus legal defence costs. EXTENDED by the Korean Privacy Liability Endorsement to cover statutory/multiplied damages under Personal Information Protection Act Art.39/39-2 and Credit Information Use and Protection Act Art.43/43-2.</t>
        </is>
      </c>
      <c r="D9" t="inlineStr">
        <is>
          <t>Insured's intentional/malicious act (#6); fines/penalties in general (#10) except where the Privacy Liability Endorsement explicitly carves back statutory damages.</t>
        </is>
      </c>
      <c r="E9" t="inlineStr">
        <is>
          <t>THIS IS THE DIRECT LINK between Severity_Regulatory (currently empty) and an actual Korean insurance product - the KISA/PIPC statutory-damages figures should populate Severity_Regulatory using this endorsement's legal basis.</t>
        </is>
      </c>
    </row>
    <row r="10">
      <c r="A10" t="inlineStr">
        <is>
          <t>B.2</t>
        </is>
      </c>
      <c r="B10" t="inlineStr">
        <is>
          <t>Network security liability</t>
        </is>
      </c>
      <c r="C10" t="inlineStr">
        <is>
          <t>Third-party claims for a cyber incident on the insured's own systems that damages, discloses, or interrupts a THIRD PARTY's data/systems (supply-chain / downstream liability).</t>
        </is>
      </c>
      <c r="D10" t="inlineStr">
        <is>
          <t>General exclusions apply (#1, #6, #8, #18 intercompany claims).</t>
        </is>
      </c>
      <c r="E10" t="inlineStr">
        <is>
          <t>Relevant to 'Third-party Dependency' risk driver, symmetric counterpart to A.4 (this covers harm the insured causes to others, A.4 covers harm others cause to the insured).</t>
        </is>
      </c>
    </row>
    <row r="11">
      <c r="A11" t="inlineStr">
        <is>
          <t>B.3</t>
        </is>
      </c>
      <c r="B11" t="inlineStr">
        <is>
          <t>Media liability</t>
        </is>
      </c>
      <c r="C11" t="inlineStr">
        <is>
          <t>Third-party claims for defamation, IP infringement (copyright/trademark/trade name - NOT patents), or privacy breach arising from the insured's online media activities (website, social media, email).</t>
        </is>
      </c>
      <c r="D11" t="inlineStr">
        <is>
          <t>Patent infringement is ALWAYS excluded even though other IP infringement is covered (#15 carve-back within a carve-back).</t>
        </is>
      </c>
      <c r="E11" t="inlineStr">
        <is>
          <t>Narrow scope, low relevance to the core Frequency/Severity model - lowest priority for CRQ integration.</t>
        </is>
      </c>
    </row>
    <row r="12">
      <c r="A12" t="inlineStr">
        <is>
          <t>GEN</t>
        </is>
      </c>
      <c r="B12" t="inlineStr">
        <is>
          <t>General cross-cutting exclusions (apply to ALL sections above)</t>
        </is>
      </c>
      <c r="C12" t="inlineStr">
        <is>
          <t>N/A - this row lists exclusions relevant to scenario-level Yes/No coverage filtering across every section.</t>
        </is>
      </c>
      <c r="D12" t="inlineStr">
        <is>
          <t>Known/foreseeable circumstances pre-dating policy inception (#1); insured's intentional/malicious/deliberate act (#6); claims by/against related entities - parent, subsidiary, joint-venture (#18); insolvency/bankruptcy of insured or any service provider (#26); War/Cyber War/Cyber Operation Exclusion (LMA5566) - especially relevant for NATION-STATE attributed attacks; Sanction Limitation Clause - any claim that would expose insurer to UN/EU/UK/US sanctions.</t>
        </is>
      </c>
      <c r="E12" t="inlineStr">
        <is>
          <t>Use this row to build the is_covered(scenario_type) filter in the Monte Carlo script: state_sponsored_attack=False, cryptocurrency_loss=False (#17), intentional_act_by_insured=False (#6), all other modeled scenarios (ransomware/BEC/data_breach/business_interruption)=True by default unless one of these cross-cutting exclusions applies.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2" customWidth="1" min="1" max="1"/>
    <col width="22" customWidth="1" min="2" max="2"/>
    <col width="20" customWidth="1" min="3" max="3"/>
    <col width="60" customWidth="1" min="4" max="4"/>
    <col width="60" customWidth="1" min="5" max="5"/>
  </cols>
  <sheetData>
    <row r="1">
      <c r="A1" s="2" t="inlineStr">
        <is>
          <t>Parameter</t>
        </is>
      </c>
      <c r="B1" s="2" t="inlineStr">
        <is>
          <t>Value</t>
        </is>
      </c>
      <c r="C1" s="2" t="inlineStr">
        <is>
          <t>Unit</t>
        </is>
      </c>
      <c r="D1" s="2" t="inlineStr">
        <is>
          <t>Reason</t>
        </is>
      </c>
      <c r="E1" s="2" t="inlineStr">
        <is>
          <t>Evidence</t>
        </is>
      </c>
      <c r="F1" t="inlineStr">
        <is>
          <t>Category</t>
        </is>
      </c>
    </row>
    <row r="2">
      <c r="A2" s="3" t="inlineStr">
        <is>
          <t>Frequency_Distribution</t>
        </is>
      </c>
      <c r="B2" s="3" t="inlineStr">
        <is>
          <t>Poisson</t>
        </is>
      </c>
      <c r="C2" s="3" t="inlineStr">
        <is>
          <t>distribution type</t>
        </is>
      </c>
      <c r="D2" s="3" t="inlineStr">
        <is>
          <t>Standard choice for modeling the count of rare, independent loss events per year in CRQ practice (e.g. FAIR model, actuarial convention).</t>
        </is>
      </c>
      <c r="E2" s="3" t="inlineStr">
        <is>
          <t>Methodological convention - not derived from a specific report in this workbook.</t>
        </is>
      </c>
      <c r="F2" t="inlineStr">
        <is>
          <t>Distribution choices</t>
        </is>
      </c>
    </row>
    <row r="3">
      <c r="A3" s="3" t="inlineStr">
        <is>
          <t>Severity_Distribution</t>
        </is>
      </c>
      <c r="B3" s="3" t="inlineStr">
        <is>
          <t>Lognormal</t>
        </is>
      </c>
      <c r="C3" s="3" t="inlineStr">
        <is>
          <t>distribution type</t>
        </is>
      </c>
      <c r="D3" s="3" t="inlineStr">
        <is>
          <t>Cyber losses are right-skewed with a heavy tail: most incidents are low-cost but a small number are catastrophic.</t>
        </is>
      </c>
      <c r="E3" s="3" t="inlineStr">
        <is>
          <t>IRIS 2025 Fig.14 shows this shape directly. NetDiligence Table 5 shows the same pattern indirectly (e.g. Healthcare: Avg $566K vs Max $105M - a few extreme claims pull the average far above the typical claim).</t>
        </is>
      </c>
      <c r="F3" t="inlineStr">
        <is>
          <t>Distribution choices</t>
        </is>
      </c>
    </row>
    <row r="4">
      <c r="A4" s="3" t="inlineStr">
        <is>
          <t>Severity_Sigma_Method</t>
        </is>
      </c>
      <c r="B4" s="3" t="inlineStr">
        <is>
          <t>sigma = ln(P95 / Median) / 1.645</t>
        </is>
      </c>
      <c r="C4" s="3" t="inlineStr">
        <is>
          <t>formula</t>
        </is>
      </c>
      <c r="D4" s="3" t="inlineStr">
        <is>
          <t>Standard method to back out the lognormal shape parameter (sigma) when only median and P95 are published, using the 95th-percentile z-score (1.645).</t>
        </is>
      </c>
      <c r="E4" s="3" t="inlineStr">
        <is>
          <t>Applied to Severity_IRIS Table A (Industry_ID, Median, P95 columns already in this workbook).</t>
        </is>
      </c>
      <c r="F4" t="inlineStr">
        <is>
          <t>Distribution choices</t>
        </is>
      </c>
    </row>
    <row r="5">
      <c r="A5" s="3" t="inlineStr">
        <is>
          <t>Severity_Sigma_Example_Healthcare</t>
        </is>
      </c>
      <c r="B5" s="3" t="n">
        <v>1.96</v>
      </c>
      <c r="C5" s="3" t="inlineStr">
        <is>
          <t>sigma (log-scale)</t>
        </is>
      </c>
      <c r="D5" s="3" t="inlineStr">
        <is>
          <t>Worked example of the formula above using Healthcare's published Median and P95, to illustrate the calculation - NOT a universal constant. Each industry/segment should get its own sigma from its own Median/P95 (or Avg/Max) pair.</t>
        </is>
      </c>
      <c r="E5" s="3" t="inlineStr">
        <is>
          <t>Computed from Severity_IRIS Table A: Healthcare Median=$557K, P95=$14M -&gt; sigma = ln(14,000,000/557,000)/1.645 = 1.96</t>
        </is>
      </c>
      <c r="F5" t="inlineStr">
        <is>
          <t>Distribution choices</t>
        </is>
      </c>
    </row>
    <row r="6">
      <c r="A6" s="3" t="inlineStr">
        <is>
          <t>Simulation_Runs</t>
        </is>
      </c>
      <c r="B6" s="3" t="n">
        <v>100000</v>
      </c>
      <c r="C6" s="3" t="inlineStr">
        <is>
          <t>runs</t>
        </is>
      </c>
      <c r="D6" s="3" t="inlineStr">
        <is>
          <t>Sufficient for stable estimates of tail risk (P95/P99/VaR) in a typical single-organization Monte Carlo CRQ run; higher runs mainly reduce noise in extreme tail percentiles.</t>
        </is>
      </c>
      <c r="E6" s="3" t="inlineStr">
        <is>
          <t>Standard practice guidance (e.g. FAIR Institute); not derived from a specific report in this workbook.</t>
        </is>
      </c>
      <c r="F6" t="inlineStr">
        <is>
          <t>Distribution choices</t>
        </is>
      </c>
    </row>
    <row r="7">
      <c r="A7" s="3" t="inlineStr">
        <is>
          <t>Random_Seed</t>
        </is>
      </c>
      <c r="B7" s="3" t="n">
        <v>42</v>
      </c>
      <c r="C7" s="3" t="inlineStr">
        <is>
          <t>integer</t>
        </is>
      </c>
      <c r="D7" s="3" t="inlineStr">
        <is>
          <t>Fixing a seed makes Monte Carlo results reproducible run-to-run for QA and stakeholder review.</t>
        </is>
      </c>
      <c r="E7" s="3" t="inlineStr">
        <is>
          <t>Analyst convention - any fixed integer works; change if a different reproducible run is needed.</t>
        </is>
      </c>
      <c r="F7" t="inlineStr">
        <is>
          <t>Distribution choices</t>
        </is>
      </c>
    </row>
    <row r="8">
      <c r="A8" s="3" t="inlineStr">
        <is>
          <t>Currency_Base</t>
        </is>
      </c>
      <c r="B8" s="3" t="inlineStr">
        <is>
          <t>USD</t>
        </is>
      </c>
      <c r="C8" s="3" t="inlineStr">
        <is>
          <t>currency code</t>
        </is>
      </c>
      <c r="D8" s="3" t="inlineStr">
        <is>
          <t>All frequency and severity source data in this workbook (IRIS, DBIR, IBM, NetDiligence) is denominated in USD; keeping the model in USD avoids repeated FX conversion.</t>
        </is>
      </c>
      <c r="E8" s="3" t="inlineStr">
        <is>
          <t>Confirmed across Severity_IRIS, Severity_IBM, Severity_NetDiligence - all figures sourced in USD.</t>
        </is>
      </c>
      <c r="F8" t="inlineStr">
        <is>
          <t>Scope limitations</t>
        </is>
      </c>
    </row>
    <row r="9">
      <c r="A9" s="3" t="inlineStr">
        <is>
          <t>Frequency_Upper_Bound_Caveat</t>
        </is>
      </c>
      <c r="B9" s="3" t="inlineStr">
        <is>
          <t>IRIS frequencies are P(&gt;=1 event/year), not Poisson lambda</t>
        </is>
      </c>
      <c r="C9" s="3" t="inlineStr">
        <is>
          <t>caveat</t>
        </is>
      </c>
      <c r="D9" s="3" t="inlineStr">
        <is>
          <t>IRIS 2025 explicitly describes its frequency figures as an upper-bound estimate of the probability of at least one incident, not the expected event count (lambda). For rare events the two are close, but this should not be treated as exact.</t>
        </is>
      </c>
      <c r="E9" s="3" t="inlineStr">
        <is>
          <t>IRIS 2025 methodology notes (see Frequency_IRIS sheet discussion).</t>
        </is>
      </c>
      <c r="F9" t="inlineStr">
        <is>
          <t>Scope limitations</t>
        </is>
      </c>
    </row>
    <row r="10">
      <c r="A10" s="3" t="inlineStr">
        <is>
          <t>SME_Large_Revenue_Threshold</t>
        </is>
      </c>
      <c r="B10" s="3" t="n">
        <v>2000000000</v>
      </c>
      <c r="C10" s="3" t="inlineStr">
        <is>
          <t>USD annual revenue</t>
        </is>
      </c>
      <c r="D10" s="3" t="inlineStr">
        <is>
          <t>Threshold used by NetDiligence to split claims into 'SME' vs 'Large Company' tiers - needed to decide which Severity_NetDiligence table (A/C SME rows vs B/C Large rows) applies to a given target organization.</t>
        </is>
      </c>
      <c r="E10" s="3" t="inlineStr">
        <is>
          <t>NetDiligence Cyber Claims Study 2025, glossary definition of SME / Large Company (p.2).</t>
        </is>
      </c>
      <c r="F10" t="inlineStr">
        <is>
          <t>Scope limitations</t>
        </is>
      </c>
    </row>
    <row r="11">
      <c r="A11" t="inlineStr">
        <is>
          <t>Frequency_Severity_Independence</t>
        </is>
      </c>
      <c r="B11" t="inlineStr">
        <is>
          <t>Independent (assumed)</t>
        </is>
      </c>
      <c r="C11" t="inlineStr">
        <is>
          <t>modeling assumption</t>
        </is>
      </c>
      <c r="D11" t="inlineStr">
        <is>
          <t>Standard collective risk model assumption: the number of loss events per year (Poisson draw) and the dollar size of each event (Lognormal draw) are generated independently - i.e. a year with more incidents does not make each individual incident bigger or smaller.</t>
        </is>
      </c>
      <c r="E11" t="inlineStr">
        <is>
          <t>Modeling convention (actuarial collective risk model / FAIR practice) - NOT empirically tested against IRIS/NetDiligence data in this workbook. LIMITATION: plausible violations exist (e.g. an org that suffers repeat incidents may have systemically weaker controls, making each incident more severe too) - not captured here.</t>
        </is>
      </c>
      <c r="F11" t="inlineStr">
        <is>
          <t>Independence &amp; correlation assumptions</t>
        </is>
      </c>
    </row>
    <row r="12">
      <c r="A12" t="inlineStr">
        <is>
          <t>Inter_Event_Independence</t>
        </is>
      </c>
      <c r="B12" t="inlineStr">
        <is>
          <t>i.i.d. draws within a simulation year</t>
        </is>
      </c>
      <c r="C12" t="inlineStr">
        <is>
          <t>modeling assumption</t>
        </is>
      </c>
      <c r="D12" t="inlineStr">
        <is>
          <t>Each of the N events simulated in a given year has its severity drawn independently from the same Lognormal(mu, sigma), with no memory of prior events that year.</t>
        </is>
      </c>
      <c r="E12" t="inlineStr">
        <is>
          <t>Modeling convention. LIMITATION: does not model contagion/clustering, e.g. one compromised credential leading to multiple follow-on incidents, or a single vulnerability affecting many systems at once (a 'single insured event' per the policy's 'Series of Events' clause would actually collapse these into ONE event, not several - see Policy_Coverage C. Series of Events).</t>
        </is>
      </c>
      <c r="F12" t="inlineStr">
        <is>
          <t>Independence &amp; correlation assumptions</t>
        </is>
      </c>
    </row>
    <row r="13">
      <c r="A13" t="inlineStr">
        <is>
          <t>Cross_Scenario_Correlation</t>
        </is>
      </c>
      <c r="B13" t="inlineStr">
        <is>
          <t>None modeled (0 correlation assumed)</t>
        </is>
      </c>
      <c r="C13" t="inlineStr">
        <is>
          <t>modeling assumption</t>
        </is>
      </c>
      <c r="D13" t="inlineStr">
        <is>
          <t>Ransomware, BEC, data breach, and business interruption scenarios (see Policy_Coverage SCENARIO_COVERAGE) are simulated as if statistically unrelated to one another and unrelated across different insured organizations.</t>
        </is>
      </c>
      <c r="E13" t="inlineStr">
        <is>
          <t>Modeling convention - simplification for a single-entity MVP. LIMITATION (important): real-world cyber risk has SYSTEMIC correlation - a single vulnerability (e.g. MOVEit, Log4Shell) can trigger simultaneous incidents across many unrelated organizations and industries. This model would UNDERESTIMATE portfolio-level tail risk if reused for multi-policyholder aggregation; it is only valid for a single insured entity's own annual loss distribution.</t>
        </is>
      </c>
      <c r="F13" t="inlineStr">
        <is>
          <t>Independence &amp; correlation assumptions</t>
        </is>
      </c>
    </row>
    <row r="14">
      <c r="A14" t="inlineStr">
        <is>
          <t>Stationarity_Assumption</t>
        </is>
      </c>
      <c r="B14" t="inlineStr">
        <is>
          <t>Frequency (LEF) and Severity (mu, sigma) held constant for the 1-year horizon</t>
        </is>
      </c>
      <c r="C14" t="inlineStr">
        <is>
          <t>modeling assumption</t>
        </is>
      </c>
      <c r="D14" t="inlineStr">
        <is>
          <t>The Poisson lambda and Lognormal parameters are treated as fixed point estimates for the simulated year; no trend, drift, or seasonality is modeled within that year.</t>
        </is>
      </c>
      <c r="E14" t="inlineStr">
        <is>
          <t>LIMITATION (significant, and evidenced in this workbook's own sources): IRIS 2025 reports that incident frequency has risen ~4x and median severity ~15x over the preceding 15 years. A model that freezes today's parameters will understate risk for any future year if the historical trend continues - this is a known limitation, not an oversight, and should be re-calibrated annually (see Evidence_Register 'Last Updated' once populated).</t>
        </is>
      </c>
      <c r="F14" t="inlineStr">
        <is>
          <t>Scope limitations</t>
        </is>
      </c>
    </row>
    <row r="15">
      <c r="A15" t="inlineStr">
        <is>
          <t>Time_Horizon</t>
        </is>
      </c>
      <c r="B15" t="inlineStr">
        <is>
          <t>Single-year (annual) only - no multi-year projection or discounting</t>
        </is>
      </c>
      <c r="C15" t="inlineStr">
        <is>
          <t>modeling assumption</t>
        </is>
      </c>
      <c r="D15" t="inlineStr">
        <is>
          <t>The model outputs one Annual Loss Distribution per run of the script; it does not compound multiple years or apply a discount rate.</t>
        </is>
      </c>
      <c r="E15" t="inlineStr">
        <is>
          <t>Scope limitation. A multi-year (e.g. 3-year policy term) estimate would require repeating the simulation per year and would compound the Stationarity_Assumption limitation above rather than resolve it.</t>
        </is>
      </c>
      <c r="F15" t="inlineStr">
        <is>
          <t>Scope limitations</t>
        </is>
      </c>
    </row>
    <row r="16">
      <c r="A16" t="inlineStr">
        <is>
          <t>Portfolio_Scope</t>
        </is>
      </c>
      <c r="B16" t="inlineStr">
        <is>
          <t>Single insured entity, NOT an insurer portfolio</t>
        </is>
      </c>
      <c r="C16" t="inlineStr">
        <is>
          <t>modeling assumption</t>
        </is>
      </c>
      <c r="D16" t="inlineStr">
        <is>
          <t>This model estimates ONE organization's own annual loss distribution. It does not aggregate across a book of many policyholders.</t>
        </is>
      </c>
      <c r="E16" t="inlineStr">
        <is>
          <t>Scope limitation. An insurer wanting to price a portfolio of many SME policyholders using this tool's per-company Expected Loss as an input would still need a SEPARATE policyholder-to-policyholder correlation model (see Cross_Scenario_Correlation row) - not provided by this workbook.</t>
        </is>
      </c>
      <c r="F16" t="inlineStr">
        <is>
          <t>Scope limitations</t>
        </is>
      </c>
    </row>
    <row r="17">
      <c r="A17" t="inlineStr">
        <is>
          <t>SSC_Frequency_Only_Assumption</t>
        </is>
      </c>
      <c r="B17" t="inlineStr">
        <is>
          <t>SSC grade adjusts Frequency (LEF) only, not Severity (LM)</t>
        </is>
      </c>
      <c r="C17" t="inlineStr">
        <is>
          <t>modeling assumption</t>
        </is>
      </c>
      <c r="D17" t="inlineStr">
        <is>
          <t>A company's SecurityScorecard grade is assumed to affect how LIKELY an incident is (via the Frequency_SSC multiplier), not how LARGE the loss is once an incident happens.</t>
        </is>
      </c>
      <c r="E17" t="inlineStr">
        <is>
          <t>Modeling convention, consistent with treating SSC as a 'Vulnerability Proxy' rather than a Loss Magnitude factor (see FAIR mapping discussion). LIMITATION (debatable): weaker security posture plausibly ALSO increases severity in some cases (e.g. poor backup practices lengthen Business Interruption duration/cost, per Policy_Coverage A.3) - this second-order effect is not modeled and would need a separate Severity-side adjustment to add.</t>
        </is>
      </c>
      <c r="F17" t="inlineStr">
        <is>
          <t>Independence &amp; correlation assumptions</t>
        </is>
      </c>
    </row>
    <row r="18">
      <c r="A18" t="inlineStr">
        <is>
          <t>Severity_Revenue_Adjustment</t>
        </is>
      </c>
      <c r="B18" t="inlineStr">
        <is>
          <t>Log-space median multiplier: mu_adj = mu_industry + ln(M), M = T1_Median(tier) / GM(4 T1 medians); sigma unchanged (industry)</t>
        </is>
      </c>
      <c r="C18" t="inlineStr">
        <is>
          <t>formula</t>
        </is>
      </c>
      <c r="D18" t="inlineStr">
        <is>
          <t>Reflects firm-size effect on loss severity while preserving industry shape. Structurally the main-effects skeleton of a log-link GLM; GM normalization = sum-to-zero identification constraint.</t>
        </is>
      </c>
      <c r="E18" t="inlineStr">
        <is>
          <t>IRIS 2025 Table 1 p.16 (Severity_Revenue_T1 sheet). External validation: Eling &amp; Jung (2022) GLM revenue elasticity ~0.27 vs Table 1 implied median elasticity ~0.26 (see SEVERITY_ADJUSTMENT_DESIGN.md).</t>
        </is>
      </c>
      <c r="F18" t="inlineStr">
        <is>
          <t>Distribution choices</t>
        </is>
      </c>
    </row>
    <row r="19">
      <c r="A19" t="inlineStr">
        <is>
          <t>Severity_Revenue_Anchor</t>
        </is>
      </c>
      <c r="B19" t="inlineStr">
        <is>
          <t>Geometric mean of the four Table 1 medians (~$901K); multipliers 0.40x/0.52x/2.00x/2.44x, product = 1</t>
        </is>
      </c>
      <c r="C19" t="inlineStr">
        <is>
          <t>normalization</t>
        </is>
      </c>
      <c r="D19" t="inlineStr">
        <is>
          <t>Sum-to-zero constraint in log space keeps the adjustment exposure-neutral on average across tiers; self-contained within Table 1 (no external anchor).</t>
        </is>
      </c>
      <c r="E19" t="inlineStr">
        <is>
          <t>Derived from Severity_Revenue_T1 sheet at load time (not stored as numbers, to keep a single source of truth).</t>
        </is>
      </c>
      <c r="F19" t="inlineStr">
        <is>
          <t>Distribution choices</t>
        </is>
      </c>
    </row>
    <row r="20">
      <c r="A20" t="inlineStr">
        <is>
          <t>Severity_Revenue_Adjustment_Limitation</t>
        </is>
      </c>
      <c r="B20" t="inlineStr">
        <is>
          <t>Table 1 tier medians are MARGINAL statistics (industry mix not controlled); no industry x revenue joint table exists in IRIS</t>
        </is>
      </c>
      <c r="C20" t="inlineStr">
        <is>
          <t>modeling assumption</t>
        </is>
      </c>
      <c r="D20" t="inlineStr">
        <is>
          <t>Possible partial double-counting of industry effects (ecological inference limit). Tail (P95) size effect (Table 1 implied ~0.49 elasticity) deliberately NOT applied - sigma stays industry-based.</t>
        </is>
      </c>
      <c r="E20" t="inlineStr">
        <is>
          <t>IRIS 2025 full-text check (2026-08-05): sector and revenue loss tables are presented only as separate marginals.</t>
        </is>
      </c>
      <c r="F20" t="inlineStr">
        <is>
          <t>Scope limitations</t>
        </is>
      </c>
    </row>
    <row r="21">
      <c r="A21" t="inlineStr">
        <is>
          <t>Recommended_Coverage_Basis</t>
        </is>
      </c>
      <c r="B21" t="inlineStr">
        <is>
          <t>Per-incident severity P95 = exp(mu_adj + 1.645*sigma) = Industry P95 x Revenue Multiplier M. Displayed as Maximum Probable Loss (Incident P95); annual-aggregate percentiles are NOT used for the coverage recommendation.</t>
        </is>
      </c>
      <c r="C21" t="inlineStr">
        <is>
          <t>definition</t>
        </is>
      </c>
      <c r="D21" t="inlineStr">
        <is>
          <t>With LEF in the 0.03-0.37 range, the annual-aggregate P95 is $0 for 17 of 120 industry/revenue combos (P(no event) &gt; 95%), which is unusable as a recommended insurance limit. Per-incident P95 answers "how big can one incident plausibly get" and is always positive. Expected Annual Loss (mean) is kept separately to distinguish average annual loss from maximum incident loss.</t>
        </is>
      </c>
      <c r="E21" t="inlineStr">
        <is>
          <t>Validation sweep 2026-08-05 (crq_validation_sweep_designA.csv); product decision, Option (b).</t>
        </is>
      </c>
      <c r="F21" t="inlineStr">
        <is>
          <t>Output &amp; display definitions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Evidence_ID</t>
        </is>
      </c>
      <c r="B1" t="inlineStr">
        <is>
          <t>Dataset</t>
        </is>
      </c>
      <c r="C1" t="inlineStr">
        <is>
          <t>Source</t>
        </is>
      </c>
      <c r="D1" t="inlineStr">
        <is>
          <t>Version</t>
        </is>
      </c>
      <c r="E1" t="inlineStr">
        <is>
          <t>URL/Reference</t>
        </is>
      </c>
      <c r="F1" t="inlineStr">
        <is>
          <t>Last_Updated</t>
        </is>
      </c>
      <c r="G1" t="inlineStr">
        <is>
          <t>Notes</t>
        </is>
      </c>
      <c r="H1" t="inlineStr">
        <is>
          <t>SQR_Rating</t>
        </is>
      </c>
      <c r="I1" t="inlineStr">
        <is>
          <t>SQR_Reason</t>
        </is>
      </c>
    </row>
    <row r="2">
      <c r="A2" t="inlineStr">
        <is>
          <t>EV_01</t>
        </is>
      </c>
      <c r="B2" t="inlineStr">
        <is>
          <t>IRIS 2025</t>
        </is>
      </c>
      <c r="C2" t="inlineStr">
        <is>
          <t>Cyentia Institute</t>
        </is>
      </c>
      <c r="D2" t="inlineStr">
        <is>
          <t>2025 edition</t>
        </is>
      </c>
      <c r="E2" t="inlineStr">
        <is>
          <t>IRIS2025.pdf (project file)</t>
        </is>
      </c>
      <c r="F2" t="inlineStr">
        <is>
          <t>2026-08-05</t>
        </is>
      </c>
      <c r="G2" t="inlineStr">
        <is>
          <t>Used for Frequency_IRIS (baseline annual probability, industry/revenue multipliers) and Severity_IRIS (Median/P95 by industry). 15-year longitudinal dataset (2008-2024).</t>
        </is>
      </c>
      <c r="H2" t="inlineStr">
        <is>
          <t>Medium</t>
        </is>
      </c>
      <c r="I2" t="inlineStr">
        <is>
          <t>Large multi-year dataset with transparent methodology, but absolute baseline frequency is only published for 8 of 20 industries in this workbook - remaining 12 use an approximation. Downgraded from High for this reason.</t>
        </is>
      </c>
    </row>
    <row r="3">
      <c r="A3" t="inlineStr">
        <is>
          <t>EV_02</t>
        </is>
      </c>
      <c r="B3" t="inlineStr">
        <is>
          <t>Verizon DBIR 2026</t>
        </is>
      </c>
      <c r="C3" t="inlineStr">
        <is>
          <t>Verizon</t>
        </is>
      </c>
      <c r="D3" t="inlineStr">
        <is>
          <t>2026 edition</t>
        </is>
      </c>
      <c r="E3" t="inlineStr">
        <is>
          <t>Not directly uploaded - cited via secondary sources/prior analysis</t>
        </is>
      </c>
      <c r="F3" t="inlineStr">
        <is>
          <t>2026-08-05</t>
        </is>
      </c>
      <c r="G3" t="inlineStr">
        <is>
          <t>Used for Frequency_DBIR (attack pattern share by industry). Original DBIR PDF not directly uploaded to this project; figures transcribed from prior work - should be re-verified against the primary report when available.</t>
        </is>
      </c>
      <c r="H3" t="inlineStr">
        <is>
          <t>Medium</t>
        </is>
      </c>
      <c r="I3" t="inlineStr">
        <is>
          <t>DBIR is widely regarded as a High-quality large-sample source in the industry, but downgraded to Medium here specifically because the primary PDF was not directly verified in this workbook's project files - only secondary transcription. Re-upgrade to High once the primary source is confirmed.</t>
        </is>
      </c>
    </row>
    <row r="4">
      <c r="A4" t="inlineStr">
        <is>
          <t>EV_03</t>
        </is>
      </c>
      <c r="B4" t="inlineStr">
        <is>
          <t>NetDiligence Cyber Claims Study 2025</t>
        </is>
      </c>
      <c r="C4" t="inlineStr">
        <is>
          <t>NetDiligence</t>
        </is>
      </c>
      <c r="D4" t="inlineStr">
        <is>
          <t>2025 edition (V1.1)</t>
        </is>
      </c>
      <c r="E4" t="inlineStr">
        <is>
          <t>NetDiligenceCyberClaimsStudy2025ReportV1_1.pdf (project file)</t>
        </is>
      </c>
      <c r="F4" t="inlineStr">
        <is>
          <t>2026-08-05</t>
        </is>
      </c>
      <c r="G4" t="inlineStr">
        <is>
          <t>Used for Severity_NetDiligence (Tables A-I: SME/Large cost by industry, cause of loss, ransomware/BI special claims, legal costs, crisis services breakdown). Based on 10,402 actual insurance claims, 2020-2024.</t>
        </is>
      </c>
      <c r="H4" t="inlineStr">
        <is>
          <t>High</t>
        </is>
      </c>
      <c r="I4" t="inlineStr">
        <is>
          <t>Large sample (10,402 real claims), transparent tables with claim counts (N) disclosed per cell, methodology section included. Some individual industry x cause-of-loss cells have low N (&lt;10) and are flagged in-sheet as unstable - this is a cell-level caveat, not a source-level downgrade.</t>
        </is>
      </c>
    </row>
    <row r="5">
      <c r="A5" t="inlineStr">
        <is>
          <t>EV_04</t>
        </is>
      </c>
      <c r="B5" t="inlineStr">
        <is>
          <t>IBM Cost of a Data Breach Report</t>
        </is>
      </c>
      <c r="C5" t="inlineStr">
        <is>
          <t>IBM / Ponemon Institute</t>
        </is>
      </c>
      <c r="D5" t="inlineStr">
        <is>
          <t>2026 edition (with 2025 comparison figures)</t>
        </is>
      </c>
      <c r="E5" t="inlineStr">
        <is>
          <t>Cost_of_a_Data_Breach_Report_2026.pdf (project file)</t>
        </is>
      </c>
      <c r="F5" t="inlineStr">
        <is>
          <t>2026-08-05</t>
        </is>
      </c>
      <c r="G5" t="inlineStr">
        <is>
          <t>Used for Severity_IBM (Tables A-D: industry/country average total cost, cause-of-breach share, detection-speed impact). Based on 602 organizations, 3,558 interviews, March 2025-Feb 2026.</t>
        </is>
      </c>
      <c r="H5" t="inlineStr">
        <is>
          <t>High</t>
        </is>
      </c>
      <c r="I5" t="inlineStr">
        <is>
          <t>Large global sample, transparent activity-based costing methodology (documented in report's own 'How we calculate' section, p.66), widely cited industry benchmark. Limitation: survey/interview-based cost estimation, not audited accounting data - respondent organizations may skew toward more security-mature firms (self-disclosed in the report's own FAQ).</t>
        </is>
      </c>
    </row>
    <row r="6">
      <c r="A6" t="inlineStr">
        <is>
          <t>EV_05</t>
        </is>
      </c>
      <c r="B6" t="inlineStr">
        <is>
          <t>SecurityScorecard Grade-to-Breach-Likelihood Validation</t>
        </is>
      </c>
      <c r="C6" t="inlineStr">
        <is>
          <t>SecurityScorecard</t>
        </is>
      </c>
      <c r="D6" t="inlineStr">
        <is>
          <t>Not dated in source slide</t>
        </is>
      </c>
      <c r="E6" t="inlineStr">
        <is>
          <t>ssc등급.png (project file, single slide)</t>
        </is>
      </c>
      <c r="F6" t="inlineStr">
        <is>
          <t>2026-08-05</t>
        </is>
      </c>
      <c r="G6" t="inlineStr">
        <is>
          <t>Used for Frequency_SSC (A-F grade frequency multipliers: 1.0x/2.9x/5.4x/9.2x/13.8x).</t>
        </is>
      </c>
      <c r="H6" t="inlineStr">
        <is>
          <t>Low</t>
        </is>
      </c>
      <c r="I6" t="inlineStr">
        <is>
          <t>Single-source slide (one image), no accompanying methodology paper, sample size, or publication date disclosed. Directionally plausible (worse grade = higher breach likelihood is intuitive and consistent with security literature generally) but NOT independently cross-validated against a second dataset. Treat model outputs using this multiplier as directional, not precise - already flagged in Frequency_SSC sheet Notes.</t>
        </is>
      </c>
    </row>
    <row r="7">
      <c r="A7" t="inlineStr">
        <is>
          <t>EV_06</t>
        </is>
      </c>
      <c r="B7" t="inlineStr">
        <is>
          <t>KISA - 사이버 침해사고의 경제·사회적 비용 추정 연구</t>
        </is>
      </c>
      <c r="C7" t="inlineStr">
        <is>
          <t>한국인터넷진흥원(KISA)</t>
        </is>
      </c>
      <c r="D7" t="inlineStr">
        <is>
          <t>2021.12</t>
        </is>
      </c>
      <c r="E7" t="inlineStr">
        <is>
          <t>최종보고서_사이버_침해사고의_경제_사회적_비용추정_연구.pdf (project file)</t>
        </is>
      </c>
      <c r="F7" t="inlineStr">
        <is>
          <t>2026-08-05</t>
        </is>
      </c>
      <c r="G7" t="inlineStr">
        <is>
          <t>Reference/benchmark only - NOT yet wired into Severity_Regulatory. National macro totals: 2020 enterprise-sector annual damage ~KRW 695.6B, personal/individual social cost ~KRW 983.4B. Uses bottom-up activity-based costing, not top-down claims distribution (different methodology from IRIS/NetDiligence).</t>
        </is>
      </c>
      <c r="H7" t="inlineStr">
        <is>
          <t>Medium</t>
        </is>
      </c>
      <c r="I7" t="inlineStr">
        <is>
          <t>Official government-commissioned research with disclosed methodology, but macro/national-level totals only - no industry-level breakdown, and now 5 years old (2021) relative to the 2026 model date, so may understate current Korean cyber-incident costs given the general upward trend seen in IRIS/DBIR.</t>
        </is>
      </c>
    </row>
    <row r="8">
      <c r="A8" t="inlineStr">
        <is>
          <t>EV_07</t>
        </is>
      </c>
      <c r="B8" t="inlineStr">
        <is>
          <t>Hanwha General Insurance - Cyber Protection Insurance Policy Wording</t>
        </is>
      </c>
      <c r="C8" t="inlineStr">
        <is>
          <t>Hanwha General Insurance</t>
        </is>
      </c>
      <c r="D8" t="inlineStr">
        <is>
          <t>Specimen/template wording (no policy number issued)</t>
        </is>
      </c>
      <c r="E8" t="inlineStr">
        <is>
          <t>Cyber_Protection_Insurance_약관_최종본.pdf (project file)</t>
        </is>
      </c>
      <c r="F8" t="inlineStr">
        <is>
          <t>2026-08-05</t>
        </is>
      </c>
      <c r="G8" t="inlineStr">
        <is>
          <t>Used for Policy_Coverage (10 coverage sections A.1-B.3, 26 exclusions, Privacy Liability Endorsement citing Personal Information Protection Act Art.39/39-2 and Credit Information Act Art.43/43-2).</t>
        </is>
      </c>
      <c r="H8" t="inlineStr">
        <is>
          <t>High</t>
        </is>
      </c>
      <c r="I8" t="inlineStr">
        <is>
          <t>Actual insurer contract wording (not a summary or secondary description), directly usable for coverage/exclusion structure. Limitation: this is a specimen/template - Deductible, Sub-limit, and Aggregate Limit fields are blank placeholders, not real underwritten figures, so this source supports Yes/No coverage classification only, not dollar-amount modeling.</t>
        </is>
      </c>
    </row>
    <row r="9">
      <c r="A9" t="inlineStr">
        <is>
          <t>EV_08</t>
        </is>
      </c>
      <c r="B9" t="inlineStr">
        <is>
          <t>Eling &amp; Jung (2022) - Heterogeneity in cyber loss severity and its impact on cyber risk measurement</t>
        </is>
      </c>
      <c r="C9" t="inlineStr">
        <is>
          <t>Risk Management 24:273-297 (Springer); PMC9169022</t>
        </is>
      </c>
      <c r="D9" t="inlineStr">
        <is>
          <t>2022</t>
        </is>
      </c>
      <c r="E9" t="inlineStr">
        <is>
          <t>https://link.springer.com/article/10.1057/s41283-022-00095-w</t>
        </is>
      </c>
      <c r="F9" t="inlineStr">
        <is>
          <t>2026-08-05</t>
        </is>
      </c>
      <c r="G9" t="inlineStr">
        <is>
          <t>Used ONLY as external validation for Severity_Revenue_Adjustment (revenue elasticity ~0.27 vs IRIS Table 1 implied ~0.26). No coefficients enter the calculation.</t>
        </is>
      </c>
      <c r="H9" t="inlineStr">
        <is>
          <t>Medium</t>
        </is>
      </c>
      <c r="I9" t="inlineStr">
        <is>
          <t>Peer-reviewed, large sample (SAS OpRisk: 2,186 financial + 666 nonfinancial cyber events), but financial-sector-weighted and not directly reproducible here; validation-only role.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T1_Revenue_Tier</t>
        </is>
      </c>
      <c r="B1" t="inlineStr">
        <is>
          <t>Median</t>
        </is>
      </c>
      <c r="C1" t="inlineStr">
        <is>
          <t>P95</t>
        </is>
      </c>
      <c r="D1" t="inlineStr">
        <is>
          <t>Currency</t>
        </is>
      </c>
      <c r="E1" t="inlineStr">
        <is>
          <t>Source_Section</t>
        </is>
      </c>
    </row>
    <row r="2">
      <c r="A2" t="inlineStr">
        <is>
          <t>Less than $100M</t>
        </is>
      </c>
      <c r="B2" t="n">
        <v>357000</v>
      </c>
      <c r="C2" t="n">
        <v>9100000</v>
      </c>
      <c r="D2" t="inlineStr">
        <is>
          <t>USD</t>
        </is>
      </c>
      <c r="E2" t="inlineStr">
        <is>
          <t>IRIS 2025 Table 1 (Loss statistics by revenue tier), p.16</t>
        </is>
      </c>
    </row>
    <row r="3">
      <c r="A3" t="inlineStr">
        <is>
          <t>$100M to $1B</t>
        </is>
      </c>
      <c r="B3" t="n">
        <v>466700</v>
      </c>
      <c r="C3" t="n">
        <v>12300000</v>
      </c>
      <c r="D3" t="inlineStr">
        <is>
          <t>USD</t>
        </is>
      </c>
      <c r="E3" t="inlineStr">
        <is>
          <t>IRIS 2025 Table 1 (Loss statistics by revenue tier), p.16</t>
        </is>
      </c>
    </row>
    <row r="4">
      <c r="A4" t="inlineStr">
        <is>
          <t>$1B to $10B</t>
        </is>
      </c>
      <c r="B4" t="n">
        <v>1800000</v>
      </c>
      <c r="C4" t="n">
        <v>61800000</v>
      </c>
      <c r="D4" t="inlineStr">
        <is>
          <t>USD</t>
        </is>
      </c>
      <c r="E4" t="inlineStr">
        <is>
          <t>IRIS 2025 Table 1 (Loss statistics by revenue tier), p.16</t>
        </is>
      </c>
    </row>
    <row r="5">
      <c r="A5" t="inlineStr">
        <is>
          <t>More than $10B</t>
        </is>
      </c>
      <c r="B5" t="n">
        <v>2200000</v>
      </c>
      <c r="C5" t="n">
        <v>266200000</v>
      </c>
      <c r="D5" t="inlineStr">
        <is>
          <t>USD</t>
        </is>
      </c>
      <c r="E5" t="inlineStr">
        <is>
          <t>IRIS 2025 Table 1 (Loss statistics by revenue tier), p.16</t>
        </is>
      </c>
    </row>
    <row r="7">
      <c r="A7" t="inlineStr">
        <is>
          <t>Revenue_Class</t>
        </is>
      </c>
      <c r="B7" t="inlineStr">
        <is>
          <t>T1_Revenue_Tier</t>
        </is>
      </c>
      <c r="C7" t="inlineStr">
        <is>
          <t>Mapping_Note</t>
        </is>
      </c>
    </row>
    <row r="8">
      <c r="A8" t="inlineStr">
        <is>
          <t>Less than $10M</t>
        </is>
      </c>
      <c r="B8" t="inlineStr">
        <is>
          <t>Less than $100M</t>
        </is>
      </c>
      <c r="C8" t="inlineStr">
        <is>
          <t>Table C band contained in coarser Table 1 tier</t>
        </is>
      </c>
    </row>
    <row r="9">
      <c r="A9" t="inlineStr">
        <is>
          <t>$10M to $100M</t>
        </is>
      </c>
      <c r="B9" t="inlineStr">
        <is>
          <t>Less than $100M</t>
        </is>
      </c>
      <c r="C9" t="inlineStr">
        <is>
          <t>Table C band contained in coarser Table 1 tier</t>
        </is>
      </c>
    </row>
    <row r="10">
      <c r="A10" t="inlineStr">
        <is>
          <t>$100M to $1B</t>
        </is>
      </c>
      <c r="B10" t="inlineStr">
        <is>
          <t>$100M to $1B</t>
        </is>
      </c>
      <c r="C10" t="inlineStr">
        <is>
          <t>Exact label match</t>
        </is>
      </c>
    </row>
    <row r="11">
      <c r="A11" t="inlineStr">
        <is>
          <t>$1B to $10B</t>
        </is>
      </c>
      <c r="B11" t="inlineStr">
        <is>
          <t>$1B to $10B</t>
        </is>
      </c>
      <c r="C11" t="inlineStr">
        <is>
          <t>Exact label match</t>
        </is>
      </c>
    </row>
    <row r="12">
      <c r="A12" t="inlineStr">
        <is>
          <t>$10B to $100B</t>
        </is>
      </c>
      <c r="B12" t="inlineStr">
        <is>
          <t>More than $10B</t>
        </is>
      </c>
      <c r="C12" t="inlineStr">
        <is>
          <t>Table C band contained in coarser Table 1 tier</t>
        </is>
      </c>
    </row>
    <row r="13">
      <c r="A13" t="inlineStr">
        <is>
          <t>More than $100B</t>
        </is>
      </c>
      <c r="B13" t="inlineStr">
        <is>
          <t>More than $10B</t>
        </is>
      </c>
      <c r="C13" t="inlineStr">
        <is>
          <t>Table C band contained in coarser Table 1 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2026-07-30T06:45:18Z</dcterms:created>
  <dcterms:modified xmlns:dcterms="http://purl.org/dc/terms/" xmlns:xsi="http://www.w3.org/2001/XMLSchema-instance" xsi:type="dcterms:W3CDTF">2026-08-06T15:44:24Z</dcterms:modified>
</cp:coreProperties>
</file>